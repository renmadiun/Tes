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TUNJUK" sheetId="1" r:id="rId4"/>
    <sheet state="visible" name="NKO" sheetId="2" r:id="rId5"/>
    <sheet state="visible" name="INDIKATOR" sheetId="3" r:id="rId6"/>
  </sheets>
  <definedNames/>
  <calcPr/>
  <extLst>
    <ext uri="GoogleSheetsCustomDataVersion2">
      <go:sheetsCustomData xmlns:go="http://customooxmlschemas.google.com/" r:id="rId7" roundtripDataChecksum="4Gg7QpxIggrioFcZBhhm7vxJvrDN9wFNz2B93Fq4by4="/>
    </ext>
  </extLst>
</workbook>
</file>

<file path=xl/sharedStrings.xml><?xml version="1.0" encoding="utf-8"?>
<sst xmlns="http://schemas.openxmlformats.org/spreadsheetml/2006/main" count="1660" uniqueCount="91">
  <si>
    <t>PETUNJUK PENGISIAN TEMPLATE</t>
  </si>
  <si>
    <t>1. Sheet 'NKO' -&gt; isi skor NKO tiap ULP per bulan.</t>
  </si>
  <si>
    <t xml:space="preserve">   Kosongkan sel bulan yang belum ada realisasinya (dashboard otomatis</t>
  </si>
  <si>
    <t xml:space="preserve">   membuat proyeksi untuk bulan yang masih kosong).</t>
  </si>
  <si>
    <t>2. Sheet 'INDIKATOR' -&gt; isi pencapaian tiap indikator per ULP, PER BULAN.</t>
  </si>
  <si>
    <t xml:space="preserve">   Setiap bulan punya blok barisnya sendiri (kolom BULAN), persis seperti</t>
  </si>
  <si>
    <t xml:space="preserve">   cara kerja sheet NKO. Definisi indikator (NO/GROUP/NAMA/BOBOT) sudah</t>
  </si>
  <si>
    <t xml:space="preserve">   disalin otomatis ke semua blok bulan -&gt; Anda tinggal isi angka ULP-nya saja.</t>
  </si>
  <si>
    <t xml:space="preserve">   Baris dengan GROUP=TRUE adalah judul kelompok (tidak diisi angka).</t>
  </si>
  <si>
    <t xml:space="preserve">   Kosongkan blok bulan yang belum ada realisasinya -&gt; dashboard akan</t>
  </si>
  <si>
    <t xml:space="preserve">   menampilkan bulan tsb sebagai putus-putus/kosong pada grafik tren indikator.</t>
  </si>
  <si>
    <t>3. Setelah data diisi, gunakan menu:</t>
  </si>
  <si>
    <t xml:space="preserve">   File &gt; Share &gt; Publish to web</t>
  </si>
  <si>
    <t xml:space="preserve">   Pilih sheet 'NKO' -&gt; format CSV -&gt; Publish -&gt; salin link-nya.</t>
  </si>
  <si>
    <t xml:space="preserve">   Ulangi untuk sheet 'INDIKATOR'.</t>
  </si>
  <si>
    <t>4. Tempel kedua link tersebut ke file config.js pada repo GitHub dashboard.</t>
  </si>
  <si>
    <t>5. Setiap bulan: tambahkan blok BULAN baru (atau isi blok bulan yang sudah</t>
  </si>
  <si>
    <t xml:space="preserve">   tersedia) di sheet INDIKATOR, dan isi 1 kolom baru di sheet NKO.</t>
  </si>
  <si>
    <t xml:space="preserve">   Dashboard otomatis menampilkan data terbaru saat dibuka.</t>
  </si>
  <si>
    <t>BULAN</t>
  </si>
  <si>
    <t>MDK</t>
  </si>
  <si>
    <t>MGT</t>
  </si>
  <si>
    <t>NGW</t>
  </si>
  <si>
    <t>MPT</t>
  </si>
  <si>
    <t>CRB</t>
  </si>
  <si>
    <t>DLP</t>
  </si>
  <si>
    <t>MTN</t>
  </si>
  <si>
    <t>UP3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</si>
  <si>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</si>
  <si>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</si>
  <si>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</si>
  <si>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</si>
  <si>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</si>
  <si>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</si>
  <si>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</si>
  <si>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</si>
  <si>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</si>
  <si>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</si>
  <si>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</si>
  <si>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</si>
  <si>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NO</t>
  </si>
  <si>
    <t>GROUP</t>
  </si>
  <si>
    <t>NAMA</t>
  </si>
  <si>
    <t>BOBOT</t>
  </si>
  <si>
    <t>FALSE</t>
  </si>
  <si>
    <t>Penjualan Tenaga Listrik</t>
  </si>
  <si>
    <t>Susut Distribusi Tanpa E-min (sesuai kewenangan)</t>
  </si>
  <si>
    <t>TRUE</t>
  </si>
  <si>
    <t>Keandalan Sistem</t>
  </si>
  <si>
    <t>a. SAIDI (sesuai kewenangan)</t>
  </si>
  <si>
    <t>b. SAIFI (sesuai kewenangan)</t>
  </si>
  <si>
    <t>c. ENS (sesuai kewenangan)</t>
  </si>
  <si>
    <t>Penyelesaian Eksekusi RUPTL dan Investasi</t>
  </si>
  <si>
    <t>a. Penambahan Aset RUPTL</t>
  </si>
  <si>
    <t>- Penambahan JTM</t>
  </si>
  <si>
    <t>- Penambahan JTR</t>
  </si>
  <si>
    <t>- Penambahan Trafo</t>
  </si>
  <si>
    <t>b. Penambahan Aset Penyelesaian Fisik Investasi</t>
  </si>
  <si>
    <t>Percepatan Penyambungan Pelanggan</t>
  </si>
  <si>
    <t>a.1. Jumlah Penambahan Pelanggan</t>
  </si>
  <si>
    <t>a.2. Penambahan Daya Tersambung</t>
  </si>
  <si>
    <t>b. Pendapatan Biaya Penyambungan</t>
  </si>
  <si>
    <t>c. Penambahan Jumlah Pelanggan Lisdes</t>
  </si>
  <si>
    <t>d. Peningkatan kWh Penjualan dari Pelanggan Lisdes</t>
  </si>
  <si>
    <t>Peningkatan Pelayanan Pelanggan</t>
  </si>
  <si>
    <t>a. Feedback Rating Negatif pada PLN Mobile - Gangguan</t>
  </si>
  <si>
    <t>b. Response Time atas Gangguan (diluar Clear Tamper)</t>
  </si>
  <si>
    <t>c. Success Rate Auto Dispatch Gangguan Individual (diluar Clear Tamper)</t>
  </si>
  <si>
    <t>d.1. Total Kali Transaksi Keuangan di PLN Mobile (seluruh Pelanggan PLN)</t>
  </si>
  <si>
    <t>d.2. Total Rupiah Transaksi di PLN Mobile</t>
  </si>
  <si>
    <t>Keandalan JTM</t>
  </si>
  <si>
    <t>a. Gangguan TM (sesuai kewenangan)</t>
  </si>
  <si>
    <t>b. Kerusakan Peralatan Distribusi (sesuai kewenangan)</t>
  </si>
  <si>
    <t>Emergency Response Time (ERT) Distribusi</t>
  </si>
  <si>
    <t>a. MVOD (sesuai kewenangan)</t>
  </si>
  <si>
    <t>b. MTTR Siaga 1 TM (sesuai kewenangan)</t>
  </si>
  <si>
    <t>Management Cash In :</t>
  </si>
  <si>
    <t>a. Pencapaian Saldo Rata-Rata Akhir Bulan diluar Konsumen Instansi (Kementerian &amp; Lembaga)</t>
  </si>
  <si>
    <t>b. Pencapaian Pelunasan PRR</t>
  </si>
  <si>
    <t>c. Usulan Penghapusan PRR</t>
  </si>
  <si>
    <t>Pengelolaan Transaksi Energi</t>
  </si>
  <si>
    <t>a. Perolehan kWh P2TL</t>
  </si>
  <si>
    <t>b. Penyelesaian Ganti Meter</t>
  </si>
  <si>
    <t>c. Tindak Lanjut LBKB (Laporan Bulanan Kelainan Baca Meter)</t>
  </si>
  <si>
    <t>Digitalisasi Aplikasi Korporat</t>
  </si>
  <si>
    <t>a. Pengembangan Aset Distribusi</t>
  </si>
  <si>
    <t>b. Efektivitas Pemeliharaan</t>
  </si>
  <si>
    <t>Kepatuhan, Maturity Level dan Tata Kelola Perusahaan</t>
  </si>
  <si>
    <t>a. Implementasi Maturity Level</t>
  </si>
  <si>
    <t>b. Kepatuhan</t>
  </si>
  <si>
    <t>c. Tata Kelola Perusahaan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</si>
</sst>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#,##0.0000000000000000000"/>
    <numFmt numFmtId="165" formatCode="#,##0.0000000000000000000000"/>
    <numFmt numFmtId="166" formatCode="#,##0.0000000000000000"/>
    <numFmt numFmtId="167" formatCode="#,##0.000000000000000000"/>
    <numFmt numFmtId="168" formatCode="#,##0.000000000"/>
  </numFmts>
  <fonts count="5">
    <font>
      <sz val="11.0"/>
      <color theme="1"/>
      <name val="Calibri"/>
      <scheme val="minor"/>
    </font>
    <font>
      <b/>
      <sz val="13.0"/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top"/>
    </xf>
    <xf borderId="0" fillId="0" fontId="2" numFmtId="0" xfId="0" applyAlignment="1" applyFont="1">
      <alignment vertical="top"/>
    </xf>
    <xf borderId="0" fillId="0" fontId="3" numFmtId="0" xfId="0" applyFont="1"/>
    <xf borderId="0" fillId="0" fontId="4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66" xfId="0" applyFont="1" applyNumberFormat="1"/>
    <xf borderId="0" fillId="0" fontId="4" numFmtId="167" xfId="0" applyFont="1" applyNumberFormat="1"/>
    <xf borderId="1" fillId="2" fontId="3" numFmtId="0" xfId="0" applyBorder="1" applyFill="1" applyFont="1"/>
    <xf borderId="0" fillId="0" fontId="4" numFmtId="168" xfId="0" applyFont="1" applyNumberForma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/>
    </row>
    <row r="7">
      <c r="A7" s="2" t="s">
        <v>4</v>
      </c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/>
    </row>
    <row r="15">
      <c r="A15" s="2" t="s">
        <v>11</v>
      </c>
    </row>
    <row r="16">
      <c r="A16" s="2" t="s">
        <v>12</v>
      </c>
    </row>
    <row r="17">
      <c r="A17" s="2" t="s">
        <v>13</v>
      </c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3" t="s">
        <v>19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</row>
    <row r="2">
      <c r="A2" s="4" t="s">
        <v>28</v>
      </c>
      <c r="B2" s="4">
        <v>101.14</v>
      </c>
      <c r="C2" s="4">
        <v>92.81</v>
      </c>
      <c r="D2" s="4">
        <v>96.41</v>
      </c>
      <c r="E2" s="4">
        <v>98.52</v>
      </c>
      <c r="F2" s="4">
        <v>99.44</v>
      </c>
      <c r="G2" s="4">
        <v>97.93</v>
      </c>
      <c r="H2" s="4">
        <v>98.64</v>
      </c>
      <c r="I2" s="4">
        <v>99.54</v>
      </c>
    </row>
    <row r="3">
      <c r="A3" s="4" t="s">
        <v>29</v>
      </c>
      <c r="B3" s="4">
        <v>94.33</v>
      </c>
      <c r="C3" s="4">
        <v>90.87</v>
      </c>
      <c r="D3" s="4">
        <v>99.47</v>
      </c>
      <c r="E3" s="4">
        <v>98.54</v>
      </c>
      <c r="F3" s="4">
        <v>98.83</v>
      </c>
      <c r="G3" s="4">
        <v>95.0</v>
      </c>
      <c r="H3" s="4">
        <v>91.43</v>
      </c>
      <c r="I3" s="4">
        <v>98.21</v>
      </c>
    </row>
    <row r="4">
      <c r="A4" s="4" t="s">
        <v>30</v>
      </c>
      <c r="B4" s="4">
        <v>97.15</v>
      </c>
      <c r="C4" s="4">
        <v>98.5</v>
      </c>
      <c r="D4" s="4">
        <v>103.23</v>
      </c>
      <c r="E4" s="4">
        <v>100.29</v>
      </c>
      <c r="F4" s="4">
        <v>99.82</v>
      </c>
      <c r="G4" s="4">
        <v>94.96</v>
      </c>
      <c r="H4" s="4">
        <v>100.31</v>
      </c>
      <c r="I4" s="4">
        <v>99.79</v>
      </c>
    </row>
    <row r="5">
      <c r="A5" s="4" t="s">
        <v>31</v>
      </c>
      <c r="B5" s="4">
        <v>96.81</v>
      </c>
      <c r="C5" s="4">
        <v>98.52</v>
      </c>
      <c r="D5" s="4">
        <v>103.51</v>
      </c>
      <c r="E5" s="4">
        <v>98.54</v>
      </c>
      <c r="F5" s="4">
        <v>96.73</v>
      </c>
      <c r="G5" s="4">
        <v>96.21</v>
      </c>
      <c r="H5" s="4">
        <v>100.66</v>
      </c>
      <c r="I5" s="4">
        <v>99.41</v>
      </c>
    </row>
    <row r="6">
      <c r="A6" s="4" t="s">
        <v>32</v>
      </c>
      <c r="B6" s="4">
        <v>96.02</v>
      </c>
      <c r="C6" s="4">
        <v>98.89</v>
      </c>
      <c r="D6" s="4">
        <v>103.64</v>
      </c>
      <c r="E6" s="4">
        <v>98.19</v>
      </c>
      <c r="F6" s="4">
        <v>101.61</v>
      </c>
      <c r="G6" s="4">
        <v>96.28</v>
      </c>
      <c r="H6" s="4">
        <v>101.89</v>
      </c>
      <c r="I6" s="4">
        <v>101.31</v>
      </c>
    </row>
    <row r="7">
      <c r="A7" s="4" t="s">
        <v>33</v>
      </c>
      <c r="B7" s="4">
        <v>101.03</v>
      </c>
      <c r="C7" s="4">
        <v>101.46</v>
      </c>
      <c r="D7" s="4">
        <v>107.65</v>
      </c>
      <c r="E7" s="4">
        <v>101.5</v>
      </c>
      <c r="F7" s="4">
        <v>104.8</v>
      </c>
      <c r="G7" s="4">
        <v>100.22</v>
      </c>
      <c r="H7" s="4">
        <v>104.95</v>
      </c>
      <c r="I7" s="4">
        <v>102.62</v>
      </c>
    </row>
    <row r="8">
      <c r="A8" s="4" t="s">
        <v>34</v>
      </c>
    </row>
    <row r="9">
      <c r="A9" s="4" t="s">
        <v>35</v>
      </c>
    </row>
    <row r="10">
      <c r="A10" s="4" t="s">
        <v>36</v>
      </c>
    </row>
    <row r="11">
      <c r="A11" s="4" t="s">
        <v>37</v>
      </c>
    </row>
    <row r="12">
      <c r="A12" s="4" t="s">
        <v>38</v>
      </c>
    </row>
    <row r="13">
      <c r="A13" s="4" t="s">
        <v>39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0"/>
    <col customWidth="1" min="2" max="2" width="5.0"/>
    <col customWidth="1" min="3" max="3" width="8.0"/>
    <col customWidth="1" min="4" max="4" width="55.0"/>
    <col customWidth="1" min="5" max="12" width="8.0"/>
    <col customWidth="1" min="13" max="26" width="8.71"/>
  </cols>
  <sheetData>
    <row r="1">
      <c r="A1" s="3" t="s">
        <v>19</v>
      </c>
      <c r="B1" s="3" t="s">
        <v>40</v>
      </c>
      <c r="C1" s="3" t="s">
        <v>41</v>
      </c>
      <c r="D1" s="3" t="s">
        <v>42</v>
      </c>
      <c r="E1" s="3" t="s">
        <v>43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</row>
    <row r="2">
      <c r="A2" s="4" t="s">
        <v>28</v>
      </c>
      <c r="B2" s="4">
        <v>1.0</v>
      </c>
      <c r="C2" s="4" t="s">
        <v>44</v>
      </c>
      <c r="D2" s="4" t="s">
        <v>45</v>
      </c>
      <c r="E2" s="4">
        <v>14.0</v>
      </c>
      <c r="F2" s="5">
        <f>IFERROR(__xludf.DUMMYFUNCTION("IMPORTRANGE(""1e7--NjE9N54w7uxIeTVQ2x149gW2CjGTf8gPedLtEqw"",""MDK!AE5:AE45"")"),1.1382971400000024)</f>
        <v>1.13829714</v>
      </c>
      <c r="G2" s="5">
        <f>IFERROR(__xludf.DUMMYFUNCTION("IMPORTRANGE(""1e7--NjE9N54w7uxIeTVQ2x149gW2CjGTf8gPedLtEqw"",""MGT!AE5:AE45"")"),0.6738661770000007)</f>
        <v>0.673866177</v>
      </c>
      <c r="H2" s="6">
        <f>IFERROR(__xludf.DUMMYFUNCTION("IMPORTRANGE(""1e7--NjE9N54w7uxIeTVQ2x149gW2CjGTf8gPedLtEqw"",""NGW!AE5:AE45"")"),0.001321390000001088)</f>
        <v>0.00132139</v>
      </c>
      <c r="I2" s="7">
        <f>IFERROR(__xludf.DUMMYFUNCTION("IMPORTRANGE(""1e7--NjE9N54w7uxIeTVQ2x149gW2CjGTf8gPedLtEqw"",""MPT!AE5:AE45"")"),0.2743533179999993)</f>
        <v>0.274353318</v>
      </c>
      <c r="J2" s="8">
        <f>IFERROR(__xludf.DUMMYFUNCTION("IMPORTRANGE(""1e7--NjE9N54w7uxIeTVQ2x149gW2CjGTf8gPedLtEqw"",""CRB!AE5:AE45"")"),0.6992194830000003)</f>
        <v>0.699219483</v>
      </c>
      <c r="K2" s="5">
        <f>IFERROR(__xludf.DUMMYFUNCTION("IMPORTRANGE(""1e7--NjE9N54w7uxIeTVQ2x149gW2CjGTf8gPedLtEqw"",""DLP!AE5:AE45"")"),0.1898127780000003)</f>
        <v>0.189812778</v>
      </c>
      <c r="L2" s="7">
        <f>IFERROR(__xludf.DUMMYFUNCTION("IMPORTRANGE(""1e7--NjE9N54w7uxIeTVQ2x149gW2CjGTf8gPedLtEqw"",""MTN!AE5:AE45"")"),-0.001230528999998981)</f>
        <v>-0.001230529</v>
      </c>
    </row>
    <row r="3">
      <c r="A3" s="4" t="s">
        <v>28</v>
      </c>
      <c r="B3" s="4">
        <v>2.0</v>
      </c>
      <c r="C3" s="4" t="s">
        <v>44</v>
      </c>
      <c r="D3" s="4" t="s">
        <v>46</v>
      </c>
      <c r="E3" s="4">
        <v>12.0</v>
      </c>
      <c r="F3" s="5">
        <f>IFERROR(__xludf.DUMMYFUNCTION("""COMPUTED_VALUE"""),0.77)</f>
        <v>0.77</v>
      </c>
      <c r="G3" s="5">
        <f>IFERROR(__xludf.DUMMYFUNCTION("""COMPUTED_VALUE"""),9.91)</f>
        <v>9.91</v>
      </c>
      <c r="H3" s="6">
        <f>IFERROR(__xludf.DUMMYFUNCTION("""COMPUTED_VALUE"""),8.89)</f>
        <v>8.89</v>
      </c>
      <c r="I3" s="6">
        <f>IFERROR(__xludf.DUMMYFUNCTION("""COMPUTED_VALUE"""),5.86)</f>
        <v>5.86</v>
      </c>
      <c r="J3" s="8">
        <f>IFERROR(__xludf.DUMMYFUNCTION("""COMPUTED_VALUE"""),6.69)</f>
        <v>6.69</v>
      </c>
      <c r="K3" s="5">
        <f>IFERROR(__xludf.DUMMYFUNCTION("""COMPUTED_VALUE"""),7.28)</f>
        <v>7.28</v>
      </c>
      <c r="L3" s="6">
        <f>IFERROR(__xludf.DUMMYFUNCTION("""COMPUTED_VALUE"""),9.97)</f>
        <v>9.97</v>
      </c>
    </row>
    <row r="4">
      <c r="A4" s="4" t="s">
        <v>28</v>
      </c>
      <c r="B4" s="4">
        <v>3.0</v>
      </c>
      <c r="C4" s="4" t="s">
        <v>47</v>
      </c>
      <c r="D4" s="9" t="s">
        <v>48</v>
      </c>
      <c r="E4" s="4">
        <v>14.0</v>
      </c>
      <c r="F4" s="4"/>
      <c r="G4" s="4"/>
      <c r="H4" s="4"/>
      <c r="I4" s="4"/>
      <c r="J4" s="4"/>
      <c r="K4" s="4"/>
      <c r="L4" s="4"/>
    </row>
    <row r="5">
      <c r="A5" s="4" t="s">
        <v>28</v>
      </c>
      <c r="C5" s="4" t="s">
        <v>44</v>
      </c>
      <c r="D5" s="4" t="s">
        <v>49</v>
      </c>
      <c r="E5" s="4">
        <v>6.0</v>
      </c>
      <c r="F5" s="5">
        <f>IFERROR(__xludf.DUMMYFUNCTION("""COMPUTED_VALUE"""),1.1827899511314293)</f>
        <v>1.182789951</v>
      </c>
      <c r="G5" s="5">
        <f>IFERROR(__xludf.DUMMYFUNCTION("""COMPUTED_VALUE"""),4.3883361587716365)</f>
        <v>4.388336159</v>
      </c>
      <c r="H5" s="6">
        <f>IFERROR(__xludf.DUMMYFUNCTION("""COMPUTED_VALUE"""),4.676049359188147)</f>
        <v>4.676049359</v>
      </c>
      <c r="I5" s="6">
        <f>IFERROR(__xludf.DUMMYFUNCTION("""COMPUTED_VALUE"""),0.6056854991376046)</f>
        <v>0.6056854991</v>
      </c>
      <c r="J5" s="8">
        <f>IFERROR(__xludf.DUMMYFUNCTION("""COMPUTED_VALUE"""),1.6410419645043322)</f>
        <v>1.641041965</v>
      </c>
      <c r="K5" s="5">
        <f>IFERROR(__xludf.DUMMYFUNCTION("""COMPUTED_VALUE"""),0.9551891919871628)</f>
        <v>0.955189192</v>
      </c>
      <c r="L5" s="6">
        <f>IFERROR(__xludf.DUMMYFUNCTION("""COMPUTED_VALUE"""),0.9646816833018613)</f>
        <v>0.9646816833</v>
      </c>
    </row>
    <row r="6">
      <c r="A6" s="4" t="s">
        <v>28</v>
      </c>
      <c r="C6" s="4" t="s">
        <v>44</v>
      </c>
      <c r="D6" s="4" t="s">
        <v>50</v>
      </c>
      <c r="E6" s="4">
        <v>6.0</v>
      </c>
      <c r="F6" s="5">
        <f>IFERROR(__xludf.DUMMYFUNCTION("""COMPUTED_VALUE"""),0.022127000960174264)</f>
        <v>0.02212700096</v>
      </c>
      <c r="G6" s="5">
        <f>IFERROR(__xludf.DUMMYFUNCTION("""COMPUTED_VALUE"""),0.13760784356070013)</f>
        <v>0.1376078436</v>
      </c>
      <c r="H6" s="6">
        <f>IFERROR(__xludf.DUMMYFUNCTION("""COMPUTED_VALUE"""),0.08838756809122239)</f>
        <v>0.08838756809</v>
      </c>
      <c r="I6" s="6">
        <f>IFERROR(__xludf.DUMMYFUNCTION("""COMPUTED_VALUE"""),0.02008750157755248)</f>
        <v>0.02008750158</v>
      </c>
      <c r="J6" s="8">
        <f>IFERROR(__xludf.DUMMYFUNCTION("""COMPUTED_VALUE"""),0.025512017502981668)</f>
        <v>0.0255120175</v>
      </c>
      <c r="K6" s="5">
        <f>IFERROR(__xludf.DUMMYFUNCTION("""COMPUTED_VALUE"""),0.01916938419863002)</f>
        <v>0.0191693842</v>
      </c>
      <c r="L6" s="6">
        <f>IFERROR(__xludf.DUMMYFUNCTION("""COMPUTED_VALUE"""),0.01960255372718281)</f>
        <v>0.01960255373</v>
      </c>
    </row>
    <row r="7">
      <c r="A7" s="4" t="s">
        <v>28</v>
      </c>
      <c r="C7" s="4" t="s">
        <v>44</v>
      </c>
      <c r="D7" s="4" t="s">
        <v>51</v>
      </c>
      <c r="E7" s="4">
        <v>2.0</v>
      </c>
      <c r="F7" s="5">
        <f>IFERROR(__xludf.DUMMYFUNCTION("""COMPUTED_VALUE"""),0.346)</f>
        <v>0.346</v>
      </c>
      <c r="G7" s="5">
        <f>IFERROR(__xludf.DUMMYFUNCTION("""COMPUTED_VALUE"""),1.281)</f>
        <v>1.281</v>
      </c>
      <c r="H7" s="6">
        <f>IFERROR(__xludf.DUMMYFUNCTION("""COMPUTED_VALUE"""),2.66)</f>
        <v>2.66</v>
      </c>
      <c r="I7" s="6">
        <f>IFERROR(__xludf.DUMMYFUNCTION("""COMPUTED_VALUE"""),0.013)</f>
        <v>0.013</v>
      </c>
      <c r="J7" s="8">
        <f>IFERROR(__xludf.DUMMYFUNCTION("""COMPUTED_VALUE"""),0.28)</f>
        <v>0.28</v>
      </c>
      <c r="K7" s="5">
        <f>IFERROR(__xludf.DUMMYFUNCTION("""COMPUTED_VALUE"""),0.114)</f>
        <v>0.114</v>
      </c>
      <c r="L7" s="6">
        <f>IFERROR(__xludf.DUMMYFUNCTION("""COMPUTED_VALUE"""),0.146)</f>
        <v>0.146</v>
      </c>
    </row>
    <row r="8">
      <c r="A8" s="4" t="s">
        <v>28</v>
      </c>
      <c r="B8" s="4">
        <v>4.0</v>
      </c>
      <c r="C8" s="4" t="s">
        <v>47</v>
      </c>
      <c r="D8" s="9" t="s">
        <v>52</v>
      </c>
      <c r="E8" s="4">
        <v>10.0</v>
      </c>
      <c r="F8" s="4"/>
      <c r="G8" s="4"/>
      <c r="H8" s="4"/>
      <c r="I8" s="4"/>
      <c r="J8" s="4"/>
      <c r="K8" s="4"/>
      <c r="L8" s="4"/>
    </row>
    <row r="9">
      <c r="A9" s="4" t="s">
        <v>28</v>
      </c>
      <c r="C9" s="4" t="s">
        <v>44</v>
      </c>
      <c r="D9" s="4" t="s">
        <v>53</v>
      </c>
      <c r="E9" s="4">
        <v>5.0</v>
      </c>
      <c r="F9" s="8">
        <f>IFERROR(__xludf.DUMMYFUNCTION("""COMPUTED_VALUE"""),100.0)</f>
        <v>100</v>
      </c>
      <c r="G9" s="8">
        <f>IFERROR(__xludf.DUMMYFUNCTION("""COMPUTED_VALUE"""),100.0)</f>
        <v>100</v>
      </c>
      <c r="H9" s="8">
        <f>IFERROR(__xludf.DUMMYFUNCTION("""COMPUTED_VALUE"""),100.0)</f>
        <v>100</v>
      </c>
      <c r="I9" s="8">
        <f>IFERROR(__xludf.DUMMYFUNCTION("""COMPUTED_VALUE"""),100.0)</f>
        <v>100</v>
      </c>
      <c r="J9" s="8">
        <f>IFERROR(__xludf.DUMMYFUNCTION("""COMPUTED_VALUE"""),100.0)</f>
        <v>100</v>
      </c>
      <c r="K9" s="8">
        <f>IFERROR(__xludf.DUMMYFUNCTION("""COMPUTED_VALUE"""),100.0)</f>
        <v>100</v>
      </c>
      <c r="L9" s="8">
        <f>IFERROR(__xludf.DUMMYFUNCTION("""COMPUTED_VALUE"""),100.0)</f>
        <v>100</v>
      </c>
    </row>
    <row r="10">
      <c r="A10" s="4" t="s">
        <v>28</v>
      </c>
      <c r="C10" s="4" t="s">
        <v>44</v>
      </c>
      <c r="D10" s="4" t="s">
        <v>54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6">
        <f>IFERROR(__xludf.DUMMYFUNCTION("""COMPUTED_VALUE"""),0.0)</f>
        <v>0</v>
      </c>
      <c r="I10" s="10">
        <f>IFERROR(__xludf.DUMMYFUNCTION("""COMPUTED_VALUE"""),0.0)</f>
        <v>0</v>
      </c>
      <c r="J10" s="8">
        <f>IFERROR(__xludf.DUMMYFUNCTION("""COMPUTED_VALUE"""),0.0)</f>
        <v>0</v>
      </c>
      <c r="K10" s="5">
        <f>IFERROR(__xludf.DUMMYFUNCTION("""COMPUTED_VALUE"""),0.0)</f>
        <v>0</v>
      </c>
      <c r="L10" s="10">
        <f>IFERROR(__xludf.DUMMYFUNCTION("""COMPUTED_VALUE"""),0.0)</f>
        <v>0</v>
      </c>
    </row>
    <row r="11">
      <c r="A11" s="4" t="s">
        <v>28</v>
      </c>
      <c r="C11" s="4" t="s">
        <v>44</v>
      </c>
      <c r="D11" s="4" t="s">
        <v>55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6">
        <f>IFERROR(__xludf.DUMMYFUNCTION("""COMPUTED_VALUE"""),0.0)</f>
        <v>0</v>
      </c>
      <c r="I11" s="10">
        <f>IFERROR(__xludf.DUMMYFUNCTION("""COMPUTED_VALUE"""),0.0)</f>
        <v>0</v>
      </c>
      <c r="J11" s="8">
        <f>IFERROR(__xludf.DUMMYFUNCTION("""COMPUTED_VALUE"""),0.0)</f>
        <v>0</v>
      </c>
      <c r="K11" s="5">
        <f>IFERROR(__xludf.DUMMYFUNCTION("""COMPUTED_VALUE"""),0.0)</f>
        <v>0</v>
      </c>
      <c r="L11" s="10">
        <f>IFERROR(__xludf.DUMMYFUNCTION("""COMPUTED_VALUE"""),0.0)</f>
        <v>0</v>
      </c>
    </row>
    <row r="12">
      <c r="A12" s="4" t="s">
        <v>28</v>
      </c>
      <c r="C12" s="4" t="s">
        <v>44</v>
      </c>
      <c r="D12" s="4" t="s">
        <v>56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6">
        <f>IFERROR(__xludf.DUMMYFUNCTION("""COMPUTED_VALUE"""),0.0)</f>
        <v>0</v>
      </c>
      <c r="I12" s="10">
        <f>IFERROR(__xludf.DUMMYFUNCTION("""COMPUTED_VALUE"""),0.0)</f>
        <v>0</v>
      </c>
      <c r="J12" s="8">
        <f>IFERROR(__xludf.DUMMYFUNCTION("""COMPUTED_VALUE"""),0.0)</f>
        <v>0</v>
      </c>
      <c r="K12" s="5">
        <f>IFERROR(__xludf.DUMMYFUNCTION("""COMPUTED_VALUE"""),0.0)</f>
        <v>0</v>
      </c>
      <c r="L12" s="10">
        <f>IFERROR(__xludf.DUMMYFUNCTION("""COMPUTED_VALUE"""),0.0)</f>
        <v>0</v>
      </c>
    </row>
    <row r="13">
      <c r="A13" s="4" t="s">
        <v>28</v>
      </c>
      <c r="C13" s="4" t="s">
        <v>44</v>
      </c>
      <c r="D13" s="4" t="s">
        <v>57</v>
      </c>
      <c r="E13" s="4">
        <v>5.0</v>
      </c>
      <c r="F13" s="5">
        <f>IFERROR(__xludf.DUMMYFUNCTION("""COMPUTED_VALUE"""),100.0)</f>
        <v>100</v>
      </c>
      <c r="G13" s="5">
        <f>IFERROR(__xludf.DUMMYFUNCTION("""COMPUTED_VALUE"""),100.0)</f>
        <v>100</v>
      </c>
      <c r="H13" s="6">
        <f>IFERROR(__xludf.DUMMYFUNCTION("""COMPUTED_VALUE"""),100.0)</f>
        <v>100</v>
      </c>
      <c r="I13" s="6">
        <f>IFERROR(__xludf.DUMMYFUNCTION("""COMPUTED_VALUE"""),100.0)</f>
        <v>100</v>
      </c>
      <c r="J13" s="8">
        <f>IFERROR(__xludf.DUMMYFUNCTION("""COMPUTED_VALUE"""),100.0)</f>
        <v>100</v>
      </c>
      <c r="K13" s="5">
        <f>IFERROR(__xludf.DUMMYFUNCTION("""COMPUTED_VALUE"""),100.0)</f>
        <v>100</v>
      </c>
      <c r="L13" s="6">
        <f>IFERROR(__xludf.DUMMYFUNCTION("""COMPUTED_VALUE"""),100.0)</f>
        <v>100</v>
      </c>
    </row>
    <row r="14">
      <c r="A14" s="4" t="s">
        <v>28</v>
      </c>
      <c r="B14" s="4">
        <v>5.0</v>
      </c>
      <c r="C14" s="4" t="s">
        <v>47</v>
      </c>
      <c r="D14" s="9" t="s">
        <v>58</v>
      </c>
      <c r="E14" s="4">
        <v>10.0</v>
      </c>
      <c r="F14" s="4"/>
      <c r="G14" s="4"/>
      <c r="H14" s="4"/>
      <c r="I14" s="4"/>
      <c r="J14" s="4"/>
      <c r="K14" s="4"/>
      <c r="L14" s="4"/>
    </row>
    <row r="15">
      <c r="A15" s="4" t="s">
        <v>28</v>
      </c>
      <c r="C15" s="4" t="s">
        <v>44</v>
      </c>
      <c r="D15" s="4" t="s">
        <v>59</v>
      </c>
      <c r="E15" s="4">
        <v>0.5</v>
      </c>
      <c r="F15" s="5">
        <f>IFERROR(__xludf.DUMMYFUNCTION("""COMPUTED_VALUE"""),349.0)</f>
        <v>349</v>
      </c>
      <c r="G15" s="5">
        <f>IFERROR(__xludf.DUMMYFUNCTION("""COMPUTED_VALUE"""),408.0)</f>
        <v>408</v>
      </c>
      <c r="H15" s="6">
        <f>IFERROR(__xludf.DUMMYFUNCTION("""COMPUTED_VALUE"""),579.0)</f>
        <v>579</v>
      </c>
      <c r="I15" s="7">
        <f>IFERROR(__xludf.DUMMYFUNCTION("""COMPUTED_VALUE"""),305.0)</f>
        <v>305</v>
      </c>
      <c r="J15" s="8">
        <f>IFERROR(__xludf.DUMMYFUNCTION("""COMPUTED_VALUE"""),347.0)</f>
        <v>347</v>
      </c>
      <c r="K15" s="5">
        <f>IFERROR(__xludf.DUMMYFUNCTION("""COMPUTED_VALUE"""),275.0)</f>
        <v>275</v>
      </c>
      <c r="L15" s="7">
        <f>IFERROR(__xludf.DUMMYFUNCTION("""COMPUTED_VALUE"""),188.0)</f>
        <v>188</v>
      </c>
    </row>
    <row r="16">
      <c r="A16" s="4" t="s">
        <v>28</v>
      </c>
      <c r="C16" s="4" t="s">
        <v>44</v>
      </c>
      <c r="D16" s="4" t="s">
        <v>60</v>
      </c>
      <c r="E16" s="4">
        <v>1.5</v>
      </c>
      <c r="F16" s="5">
        <f>IFERROR(__xludf.DUMMYFUNCTION("""COMPUTED_VALUE"""),0.8688900000000217)</f>
        <v>0.86889</v>
      </c>
      <c r="G16" s="5">
        <f>IFERROR(__xludf.DUMMYFUNCTION("""COMPUTED_VALUE"""),1.4478890000000035)</f>
        <v>1.447889</v>
      </c>
      <c r="H16" s="6">
        <f>IFERROR(__xludf.DUMMYFUNCTION("""COMPUTED_VALUE"""),2.077030000000036)</f>
        <v>2.07703</v>
      </c>
      <c r="I16" s="7">
        <f>IFERROR(__xludf.DUMMYFUNCTION("""COMPUTED_VALUE"""),1.4378600000000006)</f>
        <v>1.43786</v>
      </c>
      <c r="J16" s="8">
        <f>IFERROR(__xludf.DUMMYFUNCTION("""COMPUTED_VALUE"""),1.1553499999999985)</f>
        <v>1.15535</v>
      </c>
      <c r="K16" s="5">
        <f>IFERROR(__xludf.DUMMYFUNCTION("""COMPUTED_VALUE"""),0.9671500000000037)</f>
        <v>0.96715</v>
      </c>
      <c r="L16" s="7">
        <f>IFERROR(__xludf.DUMMYFUNCTION("""COMPUTED_VALUE"""),0.5056249999999949)</f>
        <v>0.505625</v>
      </c>
    </row>
    <row r="17">
      <c r="A17" s="4" t="s">
        <v>28</v>
      </c>
      <c r="C17" s="4" t="s">
        <v>44</v>
      </c>
      <c r="D17" s="4" t="s">
        <v>61</v>
      </c>
      <c r="E17" s="4">
        <v>2.0</v>
      </c>
      <c r="F17" s="5">
        <f>IFERROR(__xludf.DUMMYFUNCTION("""COMPUTED_VALUE"""),1.24641235)</f>
        <v>1.24641235</v>
      </c>
      <c r="G17" s="5">
        <f>IFERROR(__xludf.DUMMYFUNCTION("""COMPUTED_VALUE"""),1.56041065)</f>
        <v>1.56041065</v>
      </c>
      <c r="H17" s="6">
        <f>IFERROR(__xludf.DUMMYFUNCTION("""COMPUTED_VALUE"""),1.9249347)</f>
        <v>1.9249347</v>
      </c>
      <c r="I17" s="7">
        <f>IFERROR(__xludf.DUMMYFUNCTION("""COMPUTED_VALUE"""),0.9373252)</f>
        <v>0.9373252</v>
      </c>
      <c r="J17" s="8">
        <f>IFERROR(__xludf.DUMMYFUNCTION("""COMPUTED_VALUE"""),1.00891755)</f>
        <v>1.00891755</v>
      </c>
      <c r="K17" s="5">
        <f>IFERROR(__xludf.DUMMYFUNCTION("""COMPUTED_VALUE"""),1.0151878)</f>
        <v>1.0151878</v>
      </c>
      <c r="L17" s="7">
        <f>IFERROR(__xludf.DUMMYFUNCTION("""COMPUTED_VALUE"""),0.7877335)</f>
        <v>0.7877335</v>
      </c>
    </row>
    <row r="18">
      <c r="A18" s="4" t="s">
        <v>28</v>
      </c>
      <c r="C18" s="4" t="s">
        <v>44</v>
      </c>
      <c r="D18" s="4" t="s">
        <v>62</v>
      </c>
      <c r="E18" s="4">
        <v>4.0</v>
      </c>
      <c r="F18" s="5">
        <f>IFERROR(__xludf.DUMMYFUNCTION("""COMPUTED_VALUE"""),0.0)</f>
        <v>0</v>
      </c>
      <c r="G18" s="5">
        <f>IFERROR(__xludf.DUMMYFUNCTION("""COMPUTED_VALUE"""),15.0)</f>
        <v>15</v>
      </c>
      <c r="H18" s="6">
        <f>IFERROR(__xludf.DUMMYFUNCTION("""COMPUTED_VALUE"""),0.0)</f>
        <v>0</v>
      </c>
      <c r="I18" s="7">
        <f>IFERROR(__xludf.DUMMYFUNCTION("""COMPUTED_VALUE"""),0.0)</f>
        <v>0</v>
      </c>
      <c r="J18" s="8">
        <f>IFERROR(__xludf.DUMMYFUNCTION("""COMPUTED_VALUE"""),10.0)</f>
        <v>10</v>
      </c>
      <c r="K18" s="5">
        <f>IFERROR(__xludf.DUMMYFUNCTION("""COMPUTED_VALUE"""),0.0)</f>
        <v>0</v>
      </c>
      <c r="L18" s="7">
        <f>IFERROR(__xludf.DUMMYFUNCTION("""COMPUTED_VALUE"""),0.0)</f>
        <v>0</v>
      </c>
    </row>
    <row r="19">
      <c r="A19" s="4" t="s">
        <v>28</v>
      </c>
      <c r="C19" s="4" t="s">
        <v>44</v>
      </c>
      <c r="D19" s="4" t="s">
        <v>63</v>
      </c>
      <c r="E19" s="4">
        <v>2.0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6">
        <f>IFERROR(__xludf.DUMMYFUNCTION("""COMPUTED_VALUE"""),13.4)</f>
        <v>13.4</v>
      </c>
      <c r="I19" s="7">
        <f>IFERROR(__xludf.DUMMYFUNCTION("""COMPUTED_VALUE"""),0.0)</f>
        <v>0</v>
      </c>
      <c r="J19" s="8">
        <f>IFERROR(__xludf.DUMMYFUNCTION("""COMPUTED_VALUE"""),225.9)</f>
        <v>225.9</v>
      </c>
      <c r="K19" s="5">
        <f>IFERROR(__xludf.DUMMYFUNCTION("""COMPUTED_VALUE"""),0.0)</f>
        <v>0</v>
      </c>
      <c r="L19" s="7">
        <f>IFERROR(__xludf.DUMMYFUNCTION("""COMPUTED_VALUE"""),0.0)</f>
        <v>0</v>
      </c>
    </row>
    <row r="20">
      <c r="A20" s="4" t="s">
        <v>28</v>
      </c>
      <c r="B20" s="4">
        <v>6.0</v>
      </c>
      <c r="C20" s="4" t="s">
        <v>47</v>
      </c>
      <c r="D20" s="9" t="s">
        <v>64</v>
      </c>
      <c r="E20" s="4">
        <v>8.0</v>
      </c>
      <c r="F20" s="4"/>
      <c r="G20" s="4"/>
      <c r="H20" s="4"/>
      <c r="I20" s="4"/>
      <c r="J20" s="4"/>
      <c r="K20" s="4"/>
      <c r="L20" s="4"/>
    </row>
    <row r="21" ht="15.75" customHeight="1">
      <c r="A21" s="4" t="s">
        <v>28</v>
      </c>
      <c r="C21" s="4" t="s">
        <v>44</v>
      </c>
      <c r="D21" s="4" t="s">
        <v>65</v>
      </c>
      <c r="E21" s="4">
        <v>2.0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6">
        <f>IFERROR(__xludf.DUMMYFUNCTION("""COMPUTED_VALUE"""),0.0)</f>
        <v>0</v>
      </c>
      <c r="I21" s="6">
        <f>IFERROR(__xludf.DUMMYFUNCTION("""COMPUTED_VALUE"""),0.0)</f>
        <v>0</v>
      </c>
      <c r="J21" s="8">
        <f>IFERROR(__xludf.DUMMYFUNCTION("""COMPUTED_VALUE"""),0.0)</f>
        <v>0</v>
      </c>
      <c r="K21" s="5">
        <f>IFERROR(__xludf.DUMMYFUNCTION("""COMPUTED_VALUE"""),0.0)</f>
        <v>0</v>
      </c>
      <c r="L21" s="6">
        <f>IFERROR(__xludf.DUMMYFUNCTION("""COMPUTED_VALUE"""),0.0)</f>
        <v>0</v>
      </c>
    </row>
    <row r="22" ht="15.75" customHeight="1">
      <c r="A22" s="4" t="s">
        <v>28</v>
      </c>
      <c r="C22" s="4" t="s">
        <v>44</v>
      </c>
      <c r="D22" s="4" t="s">
        <v>66</v>
      </c>
      <c r="E22" s="4">
        <v>2.0</v>
      </c>
      <c r="F22" s="5">
        <f>IFERROR(__xludf.DUMMYFUNCTION("""COMPUTED_VALUE"""),23.22)</f>
        <v>23.22</v>
      </c>
      <c r="G22" s="5">
        <f>IFERROR(__xludf.DUMMYFUNCTION("""COMPUTED_VALUE"""),17.63)</f>
        <v>17.63</v>
      </c>
      <c r="H22" s="6">
        <f>IFERROR(__xludf.DUMMYFUNCTION("""COMPUTED_VALUE"""),22.12)</f>
        <v>22.12</v>
      </c>
      <c r="I22" s="6">
        <f>IFERROR(__xludf.DUMMYFUNCTION("""COMPUTED_VALUE"""),17.1)</f>
        <v>17.1</v>
      </c>
      <c r="J22" s="8">
        <f>IFERROR(__xludf.DUMMYFUNCTION("""COMPUTED_VALUE"""),19.97)</f>
        <v>19.97</v>
      </c>
      <c r="K22" s="5">
        <f>IFERROR(__xludf.DUMMYFUNCTION("""COMPUTED_VALUE"""),20.53)</f>
        <v>20.53</v>
      </c>
      <c r="L22" s="6">
        <f>IFERROR(__xludf.DUMMYFUNCTION("""COMPUTED_VALUE"""),22.27)</f>
        <v>22.27</v>
      </c>
    </row>
    <row r="23" ht="15.75" customHeight="1">
      <c r="A23" s="4" t="s">
        <v>28</v>
      </c>
      <c r="C23" s="4" t="s">
        <v>44</v>
      </c>
      <c r="D23" s="4" t="s">
        <v>67</v>
      </c>
      <c r="E23" s="4">
        <v>2.0</v>
      </c>
      <c r="F23" s="5">
        <f>IFERROR(__xludf.DUMMYFUNCTION("""COMPUTED_VALUE"""),59.276018099547514)</f>
        <v>59.2760181</v>
      </c>
      <c r="G23" s="5">
        <f>IFERROR(__xludf.DUMMYFUNCTION("""COMPUTED_VALUE"""),33.258426966292134)</f>
        <v>33.25842697</v>
      </c>
      <c r="H23" s="6">
        <f>IFERROR(__xludf.DUMMYFUNCTION("""COMPUTED_VALUE"""),28.032128514056225)</f>
        <v>28.03212851</v>
      </c>
      <c r="I23" s="6">
        <f>IFERROR(__xludf.DUMMYFUNCTION("""COMPUTED_VALUE"""),29.714285714285715)</f>
        <v>29.71428571</v>
      </c>
      <c r="J23" s="8">
        <f>IFERROR(__xludf.DUMMYFUNCTION("""COMPUTED_VALUE"""),19.21182266009852)</f>
        <v>19.21182266</v>
      </c>
      <c r="K23" s="5">
        <f>IFERROR(__xludf.DUMMYFUNCTION("""COMPUTED_VALUE"""),19.52755905511811)</f>
        <v>19.52755906</v>
      </c>
      <c r="L23" s="6">
        <f>IFERROR(__xludf.DUMMYFUNCTION("""COMPUTED_VALUE"""),16.666666666666664)</f>
        <v>16.66666667</v>
      </c>
    </row>
    <row r="24" ht="15.75" customHeight="1">
      <c r="A24" s="4" t="s">
        <v>28</v>
      </c>
      <c r="C24" s="4" t="s">
        <v>44</v>
      </c>
      <c r="D24" s="4" t="s">
        <v>68</v>
      </c>
      <c r="E24" s="4">
        <v>1.2</v>
      </c>
      <c r="F24" s="5">
        <f>IFERROR(__xludf.DUMMYFUNCTION("""COMPUTED_VALUE"""),9.224)</f>
        <v>9.224</v>
      </c>
      <c r="G24" s="5">
        <f>IFERROR(__xludf.DUMMYFUNCTION("""COMPUTED_VALUE"""),6.522)</f>
        <v>6.522</v>
      </c>
      <c r="H24" s="6">
        <f>IFERROR(__xludf.DUMMYFUNCTION("""COMPUTED_VALUE"""),11.345)</f>
        <v>11.345</v>
      </c>
      <c r="I24" s="7">
        <f>IFERROR(__xludf.DUMMYFUNCTION("""COMPUTED_VALUE"""),3.87)</f>
        <v>3.87</v>
      </c>
      <c r="J24" s="8">
        <f>IFERROR(__xludf.DUMMYFUNCTION("""COMPUTED_VALUE"""),5.961)</f>
        <v>5.961</v>
      </c>
      <c r="K24" s="5">
        <f>IFERROR(__xludf.DUMMYFUNCTION("""COMPUTED_VALUE"""),5.379)</f>
        <v>5.379</v>
      </c>
      <c r="L24" s="7">
        <f>IFERROR(__xludf.DUMMYFUNCTION("""COMPUTED_VALUE"""),3.545)</f>
        <v>3.545</v>
      </c>
    </row>
    <row r="25" ht="15.75" customHeight="1">
      <c r="A25" s="4" t="s">
        <v>28</v>
      </c>
      <c r="C25" s="4" t="s">
        <v>44</v>
      </c>
      <c r="D25" s="4" t="s">
        <v>69</v>
      </c>
      <c r="E25" s="4">
        <v>0.8</v>
      </c>
      <c r="F25" s="5">
        <f>IFERROR(__xludf.DUMMYFUNCTION("""COMPUTED_VALUE"""),1.557665507)</f>
        <v>1.557665507</v>
      </c>
      <c r="G25" s="5">
        <f>IFERROR(__xludf.DUMMYFUNCTION("""COMPUTED_VALUE"""),0.828242698)</f>
        <v>0.828242698</v>
      </c>
      <c r="H25" s="6">
        <f>IFERROR(__xludf.DUMMYFUNCTION("""COMPUTED_VALUE"""),1.687287277)</f>
        <v>1.687287277</v>
      </c>
      <c r="I25" s="6">
        <f>IFERROR(__xludf.DUMMYFUNCTION("""COMPUTED_VALUE"""),0.52012306)</f>
        <v>0.52012306</v>
      </c>
      <c r="J25" s="8">
        <f>IFERROR(__xludf.DUMMYFUNCTION("""COMPUTED_VALUE"""),0.747089604)</f>
        <v>0.747089604</v>
      </c>
      <c r="K25" s="5">
        <f>IFERROR(__xludf.DUMMYFUNCTION("""COMPUTED_VALUE"""),0.665705732)</f>
        <v>0.665705732</v>
      </c>
      <c r="L25" s="6">
        <f>IFERROR(__xludf.DUMMYFUNCTION("""COMPUTED_VALUE"""),0.435343482)</f>
        <v>0.435343482</v>
      </c>
    </row>
    <row r="26" ht="15.75" customHeight="1">
      <c r="A26" s="4" t="s">
        <v>28</v>
      </c>
      <c r="B26" s="4">
        <v>7.0</v>
      </c>
      <c r="C26" s="4" t="s">
        <v>47</v>
      </c>
      <c r="D26" s="9" t="s">
        <v>70</v>
      </c>
      <c r="E26" s="4">
        <v>7.0</v>
      </c>
      <c r="F26" s="4"/>
      <c r="G26" s="4"/>
      <c r="H26" s="4"/>
      <c r="I26" s="4"/>
      <c r="J26" s="4"/>
      <c r="K26" s="4"/>
      <c r="L26" s="4"/>
    </row>
    <row r="27" ht="15.75" customHeight="1">
      <c r="A27" s="4" t="s">
        <v>28</v>
      </c>
      <c r="C27" s="4" t="s">
        <v>44</v>
      </c>
      <c r="D27" s="4" t="s">
        <v>71</v>
      </c>
      <c r="E27" s="4">
        <v>5.0</v>
      </c>
      <c r="F27" s="5">
        <f>IFERROR(__xludf.DUMMYFUNCTION("""COMPUTED_VALUE"""),10.0)</f>
        <v>10</v>
      </c>
      <c r="G27" s="5">
        <f>IFERROR(__xludf.DUMMYFUNCTION("""COMPUTED_VALUE"""),17.0)</f>
        <v>17</v>
      </c>
      <c r="H27" s="6">
        <f>IFERROR(__xludf.DUMMYFUNCTION("""COMPUTED_VALUE"""),33.0)</f>
        <v>33</v>
      </c>
      <c r="I27" s="6">
        <f>IFERROR(__xludf.DUMMYFUNCTION("""COMPUTED_VALUE"""),4.0)</f>
        <v>4</v>
      </c>
      <c r="J27" s="8">
        <f>IFERROR(__xludf.DUMMYFUNCTION("""COMPUTED_VALUE"""),17.0)</f>
        <v>17</v>
      </c>
      <c r="K27" s="5">
        <f>IFERROR(__xludf.DUMMYFUNCTION("""COMPUTED_VALUE"""),16.0)</f>
        <v>16</v>
      </c>
      <c r="L27" s="6">
        <f>IFERROR(__xludf.DUMMYFUNCTION("""COMPUTED_VALUE"""),13.0)</f>
        <v>13</v>
      </c>
    </row>
    <row r="28" ht="15.75" customHeight="1">
      <c r="A28" s="4" t="s">
        <v>28</v>
      </c>
      <c r="C28" s="4" t="s">
        <v>44</v>
      </c>
      <c r="D28" s="4" t="s">
        <v>72</v>
      </c>
      <c r="E28" s="4">
        <v>2.0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6">
        <f>IFERROR(__xludf.DUMMYFUNCTION("""COMPUTED_VALUE"""),1.0)</f>
        <v>1</v>
      </c>
      <c r="I28" s="6">
        <f>IFERROR(__xludf.DUMMYFUNCTION("""COMPUTED_VALUE"""),0.0)</f>
        <v>0</v>
      </c>
      <c r="J28" s="8">
        <f>IFERROR(__xludf.DUMMYFUNCTION("""COMPUTED_VALUE"""),0.0)</f>
        <v>0</v>
      </c>
      <c r="K28" s="5">
        <f>IFERROR(__xludf.DUMMYFUNCTION("""COMPUTED_VALUE"""),1.0)</f>
        <v>1</v>
      </c>
      <c r="L28" s="6">
        <f>IFERROR(__xludf.DUMMYFUNCTION("""COMPUTED_VALUE"""),1.0)</f>
        <v>1</v>
      </c>
    </row>
    <row r="29" ht="15.75" customHeight="1">
      <c r="A29" s="4" t="s">
        <v>28</v>
      </c>
      <c r="B29" s="4">
        <v>8.0</v>
      </c>
      <c r="C29" s="4" t="s">
        <v>47</v>
      </c>
      <c r="D29" s="9" t="s">
        <v>73</v>
      </c>
      <c r="E29" s="4">
        <v>8.0</v>
      </c>
      <c r="F29" s="4"/>
      <c r="G29" s="4"/>
      <c r="H29" s="4"/>
      <c r="I29" s="4"/>
      <c r="J29" s="4"/>
      <c r="K29" s="4"/>
      <c r="L29" s="4"/>
    </row>
    <row r="30" ht="15.75" customHeight="1">
      <c r="A30" s="4" t="s">
        <v>28</v>
      </c>
      <c r="C30" s="4" t="s">
        <v>44</v>
      </c>
      <c r="D30" s="4" t="s">
        <v>74</v>
      </c>
      <c r="E30" s="4">
        <v>6.0</v>
      </c>
      <c r="F30" s="5">
        <f>IFERROR(__xludf.DUMMYFUNCTION("""COMPUTED_VALUE"""),110.0)</f>
        <v>110</v>
      </c>
      <c r="G30" s="5">
        <f>IFERROR(__xludf.DUMMYFUNCTION("""COMPUTED_VALUE"""),110.0)</f>
        <v>110</v>
      </c>
      <c r="H30" s="6">
        <f>IFERROR(__xludf.DUMMYFUNCTION("""COMPUTED_VALUE"""),110.0)</f>
        <v>110</v>
      </c>
      <c r="I30" s="6">
        <f>IFERROR(__xludf.DUMMYFUNCTION("""COMPUTED_VALUE"""),110.0)</f>
        <v>110</v>
      </c>
      <c r="J30" s="8">
        <f>IFERROR(__xludf.DUMMYFUNCTION("""COMPUTED_VALUE"""),110.0)</f>
        <v>110</v>
      </c>
      <c r="K30" s="5">
        <f>IFERROR(__xludf.DUMMYFUNCTION("""COMPUTED_VALUE"""),110.0)</f>
        <v>110</v>
      </c>
      <c r="L30" s="6">
        <f>IFERROR(__xludf.DUMMYFUNCTION("""COMPUTED_VALUE"""),110.0)</f>
        <v>110</v>
      </c>
    </row>
    <row r="31" ht="15.75" customHeight="1">
      <c r="A31" s="4" t="s">
        <v>28</v>
      </c>
      <c r="C31" s="4" t="s">
        <v>44</v>
      </c>
      <c r="D31" s="4" t="s">
        <v>75</v>
      </c>
      <c r="E31" s="4">
        <v>2.0</v>
      </c>
      <c r="F31" s="5">
        <f>IFERROR(__xludf.DUMMYFUNCTION("""COMPUTED_VALUE"""),110.00000000000001)</f>
        <v>110</v>
      </c>
      <c r="G31" s="5">
        <f>IFERROR(__xludf.DUMMYFUNCTION("""COMPUTED_VALUE"""),110.00000000000001)</f>
        <v>110</v>
      </c>
      <c r="H31" s="6">
        <f>IFERROR(__xludf.DUMMYFUNCTION("""COMPUTED_VALUE"""),110.00000000000001)</f>
        <v>110</v>
      </c>
      <c r="I31" s="6">
        <f>IFERROR(__xludf.DUMMYFUNCTION("""COMPUTED_VALUE"""),110.0)</f>
        <v>110</v>
      </c>
      <c r="J31" s="8">
        <f>IFERROR(__xludf.DUMMYFUNCTION("""COMPUTED_VALUE"""),110.00000000000001)</f>
        <v>110</v>
      </c>
      <c r="K31" s="5">
        <f>IFERROR(__xludf.DUMMYFUNCTION("""COMPUTED_VALUE"""),110.00000000000001)</f>
        <v>110</v>
      </c>
      <c r="L31" s="6">
        <f>IFERROR(__xludf.DUMMYFUNCTION("""COMPUTED_VALUE"""),110.00000000000001)</f>
        <v>110</v>
      </c>
    </row>
    <row r="32" ht="15.75" customHeight="1">
      <c r="A32" s="4" t="s">
        <v>28</v>
      </c>
      <c r="B32" s="4">
        <v>9.0</v>
      </c>
      <c r="C32" s="4" t="s">
        <v>47</v>
      </c>
      <c r="D32" s="9" t="s">
        <v>76</v>
      </c>
      <c r="E32" s="4">
        <v>6.0</v>
      </c>
      <c r="F32" s="4"/>
      <c r="G32" s="4"/>
      <c r="H32" s="4"/>
      <c r="I32" s="4"/>
      <c r="J32" s="4"/>
      <c r="K32" s="4"/>
      <c r="L32" s="4"/>
    </row>
    <row r="33" ht="15.75" customHeight="1">
      <c r="A33" s="4" t="s">
        <v>28</v>
      </c>
      <c r="C33" s="4" t="s">
        <v>44</v>
      </c>
      <c r="D33" s="4" t="s">
        <v>77</v>
      </c>
      <c r="E33" s="4">
        <v>2.0</v>
      </c>
      <c r="F33" s="5">
        <f>IFERROR(__xludf.DUMMYFUNCTION("""COMPUTED_VALUE"""),0.0)</f>
        <v>0</v>
      </c>
      <c r="G33" s="5">
        <f>IFERROR(__xludf.DUMMYFUNCTION("""COMPUTED_VALUE"""),0.0)</f>
        <v>0</v>
      </c>
      <c r="H33" s="6">
        <f>IFERROR(__xludf.DUMMYFUNCTION("""COMPUTED_VALUE"""),0.0)</f>
        <v>0</v>
      </c>
      <c r="I33" s="7">
        <f>IFERROR(__xludf.DUMMYFUNCTION("""COMPUTED_VALUE"""),4.698164)</f>
        <v>4.698164</v>
      </c>
      <c r="J33" s="8">
        <f>IFERROR(__xludf.DUMMYFUNCTION("""COMPUTED_VALUE"""),1.649847)</f>
        <v>1.649847</v>
      </c>
      <c r="K33" s="5">
        <f>IFERROR(__xludf.DUMMYFUNCTION("""COMPUTED_VALUE"""),0.0)</f>
        <v>0</v>
      </c>
      <c r="L33" s="7">
        <f>IFERROR(__xludf.DUMMYFUNCTION("""COMPUTED_VALUE"""),0.0)</f>
        <v>0</v>
      </c>
    </row>
    <row r="34" ht="15.75" customHeight="1">
      <c r="A34" s="4" t="s">
        <v>28</v>
      </c>
      <c r="C34" s="4" t="s">
        <v>44</v>
      </c>
      <c r="D34" s="4" t="s">
        <v>78</v>
      </c>
      <c r="E34" s="4">
        <v>2.0</v>
      </c>
      <c r="F34" s="5">
        <f>IFERROR(__xludf.DUMMYFUNCTION("""COMPUTED_VALUE"""),5.817475)</f>
        <v>5.817475</v>
      </c>
      <c r="G34" s="5">
        <f>IFERROR(__xludf.DUMMYFUNCTION("""COMPUTED_VALUE"""),1.966282)</f>
        <v>1.966282</v>
      </c>
      <c r="H34" s="6">
        <f>IFERROR(__xludf.DUMMYFUNCTION("""COMPUTED_VALUE"""),8.348073)</f>
        <v>8.348073</v>
      </c>
      <c r="I34" s="6">
        <f>IFERROR(__xludf.DUMMYFUNCTION("""COMPUTED_VALUE"""),4.58127)</f>
        <v>4.58127</v>
      </c>
      <c r="J34" s="8">
        <f>IFERROR(__xludf.DUMMYFUNCTION("""COMPUTED_VALUE"""),2.879314)</f>
        <v>2.879314</v>
      </c>
      <c r="K34" s="5">
        <f>IFERROR(__xludf.DUMMYFUNCTION("""COMPUTED_VALUE"""),0.961076)</f>
        <v>0.961076</v>
      </c>
      <c r="L34" s="6">
        <f>IFERROR(__xludf.DUMMYFUNCTION("""COMPUTED_VALUE"""),1.757801)</f>
        <v>1.757801</v>
      </c>
    </row>
    <row r="35" ht="15.75" customHeight="1">
      <c r="A35" s="4" t="s">
        <v>28</v>
      </c>
      <c r="C35" s="4" t="s">
        <v>44</v>
      </c>
      <c r="D35" s="4" t="s">
        <v>79</v>
      </c>
      <c r="E35" s="4">
        <v>2.0</v>
      </c>
      <c r="F35" s="5">
        <f>IFERROR(__xludf.DUMMYFUNCTION("""COMPUTED_VALUE"""),0.0)</f>
        <v>0</v>
      </c>
      <c r="G35" s="5">
        <f>IFERROR(__xludf.DUMMYFUNCTION("""COMPUTED_VALUE"""),0.0)</f>
        <v>0</v>
      </c>
      <c r="H35" s="6">
        <f>IFERROR(__xludf.DUMMYFUNCTION("""COMPUTED_VALUE"""),0.0)</f>
        <v>0</v>
      </c>
      <c r="I35" s="6">
        <f>IFERROR(__xludf.DUMMYFUNCTION("""COMPUTED_VALUE"""),0.0)</f>
        <v>0</v>
      </c>
      <c r="J35" s="8">
        <f>IFERROR(__xludf.DUMMYFUNCTION("""COMPUTED_VALUE"""),0.0)</f>
        <v>0</v>
      </c>
      <c r="K35" s="5">
        <f>IFERROR(__xludf.DUMMYFUNCTION("""COMPUTED_VALUE"""),0.0)</f>
        <v>0</v>
      </c>
      <c r="L35" s="6">
        <f>IFERROR(__xludf.DUMMYFUNCTION("""COMPUTED_VALUE"""),0.0)</f>
        <v>0</v>
      </c>
    </row>
    <row r="36" ht="15.75" customHeight="1">
      <c r="A36" s="4" t="s">
        <v>28</v>
      </c>
      <c r="B36" s="4">
        <v>10.0</v>
      </c>
      <c r="C36" s="4" t="s">
        <v>47</v>
      </c>
      <c r="D36" s="9" t="s">
        <v>80</v>
      </c>
      <c r="E36" s="4">
        <v>7.0</v>
      </c>
      <c r="F36" s="4"/>
      <c r="G36" s="4"/>
      <c r="H36" s="4"/>
      <c r="I36" s="4"/>
      <c r="J36" s="4"/>
      <c r="K36" s="4"/>
      <c r="L36" s="4"/>
    </row>
    <row r="37" ht="15.75" customHeight="1">
      <c r="A37" s="4" t="s">
        <v>28</v>
      </c>
      <c r="C37" s="4" t="s">
        <v>44</v>
      </c>
      <c r="D37" s="4" t="s">
        <v>81</v>
      </c>
      <c r="E37" s="4">
        <v>3.0</v>
      </c>
      <c r="F37" s="5">
        <f>IFERROR(__xludf.DUMMYFUNCTION("""COMPUTED_VALUE"""),81226.0)</f>
        <v>81226</v>
      </c>
      <c r="G37" s="5">
        <f>IFERROR(__xludf.DUMMYFUNCTION("""COMPUTED_VALUE"""),63408.0)</f>
        <v>63408</v>
      </c>
      <c r="H37" s="6">
        <f>IFERROR(__xludf.DUMMYFUNCTION("""COMPUTED_VALUE"""),129417.0)</f>
        <v>129417</v>
      </c>
      <c r="I37" s="6">
        <f>IFERROR(__xludf.DUMMYFUNCTION("""COMPUTED_VALUE"""),41495.0)</f>
        <v>41495</v>
      </c>
      <c r="J37" s="8">
        <f>IFERROR(__xludf.DUMMYFUNCTION("""COMPUTED_VALUE"""),36584.0)</f>
        <v>36584</v>
      </c>
      <c r="K37" s="5">
        <f>IFERROR(__xludf.DUMMYFUNCTION("""COMPUTED_VALUE"""),46295.0)</f>
        <v>46295</v>
      </c>
      <c r="L37" s="6">
        <f>IFERROR(__xludf.DUMMYFUNCTION("""COMPUTED_VALUE"""),61227.0)</f>
        <v>61227</v>
      </c>
    </row>
    <row r="38" ht="15.75" customHeight="1">
      <c r="A38" s="4" t="s">
        <v>28</v>
      </c>
      <c r="C38" s="4" t="s">
        <v>44</v>
      </c>
      <c r="D38" s="4" t="s">
        <v>82</v>
      </c>
      <c r="E38" s="4">
        <v>2.0</v>
      </c>
      <c r="F38" s="5">
        <f>IFERROR(__xludf.DUMMYFUNCTION("""COMPUTED_VALUE"""),185.0)</f>
        <v>185</v>
      </c>
      <c r="G38" s="5">
        <f>IFERROR(__xludf.DUMMYFUNCTION("""COMPUTED_VALUE"""),153.0)</f>
        <v>153</v>
      </c>
      <c r="H38" s="6">
        <f>IFERROR(__xludf.DUMMYFUNCTION("""COMPUTED_VALUE"""),372.0)</f>
        <v>372</v>
      </c>
      <c r="I38" s="6">
        <f>IFERROR(__xludf.DUMMYFUNCTION("""COMPUTED_VALUE"""),178.0)</f>
        <v>178</v>
      </c>
      <c r="J38" s="8">
        <f>IFERROR(__xludf.DUMMYFUNCTION("""COMPUTED_VALUE"""),130.0)</f>
        <v>130</v>
      </c>
      <c r="K38" s="5">
        <f>IFERROR(__xludf.DUMMYFUNCTION("""COMPUTED_VALUE"""),121.0)</f>
        <v>121</v>
      </c>
      <c r="L38" s="6">
        <f>IFERROR(__xludf.DUMMYFUNCTION("""COMPUTED_VALUE"""),142.0)</f>
        <v>142</v>
      </c>
    </row>
    <row r="39" ht="15.75" customHeight="1">
      <c r="A39" s="4" t="s">
        <v>28</v>
      </c>
      <c r="C39" s="4" t="s">
        <v>44</v>
      </c>
      <c r="D39" s="4" t="s">
        <v>83</v>
      </c>
      <c r="E39" s="4">
        <v>2.0</v>
      </c>
      <c r="F39" s="5">
        <f>IFERROR(__xludf.DUMMYFUNCTION("""COMPUTED_VALUE"""),100.0)</f>
        <v>100</v>
      </c>
      <c r="G39" s="5">
        <f>IFERROR(__xludf.DUMMYFUNCTION("""COMPUTED_VALUE"""),100.0)</f>
        <v>100</v>
      </c>
      <c r="H39" s="6">
        <f>IFERROR(__xludf.DUMMYFUNCTION("""COMPUTED_VALUE"""),100.0)</f>
        <v>100</v>
      </c>
      <c r="I39" s="6">
        <f>IFERROR(__xludf.DUMMYFUNCTION("""COMPUTED_VALUE"""),100.0)</f>
        <v>100</v>
      </c>
      <c r="J39" s="8">
        <f>IFERROR(__xludf.DUMMYFUNCTION("""COMPUTED_VALUE"""),100.0)</f>
        <v>100</v>
      </c>
      <c r="K39" s="5">
        <f>IFERROR(__xludf.DUMMYFUNCTION("""COMPUTED_VALUE"""),100.0)</f>
        <v>100</v>
      </c>
      <c r="L39" s="6">
        <f>IFERROR(__xludf.DUMMYFUNCTION("""COMPUTED_VALUE"""),100.0)</f>
        <v>100</v>
      </c>
    </row>
    <row r="40" ht="15.75" customHeight="1">
      <c r="A40" s="4" t="s">
        <v>28</v>
      </c>
      <c r="B40" s="11">
        <v>11.0</v>
      </c>
      <c r="C40" s="4" t="s">
        <v>47</v>
      </c>
      <c r="D40" s="9" t="s">
        <v>84</v>
      </c>
      <c r="E40" s="11">
        <v>4.0</v>
      </c>
      <c r="F40" s="4"/>
      <c r="G40" s="4"/>
      <c r="H40" s="4"/>
      <c r="I40" s="4"/>
      <c r="J40" s="4"/>
      <c r="K40" s="4"/>
      <c r="L40" s="4"/>
    </row>
    <row r="41" ht="15.75" customHeight="1">
      <c r="A41" s="4" t="s">
        <v>28</v>
      </c>
      <c r="C41" s="4" t="b">
        <v>0</v>
      </c>
      <c r="D41" s="11" t="s">
        <v>85</v>
      </c>
      <c r="E41" s="11">
        <v>2.0</v>
      </c>
      <c r="F41" s="5">
        <f>IFERROR(__xludf.DUMMYFUNCTION("""COMPUTED_VALUE"""),101.67)</f>
        <v>101.67</v>
      </c>
      <c r="G41" s="5">
        <f>IFERROR(__xludf.DUMMYFUNCTION("""COMPUTED_VALUE"""),101.67)</f>
        <v>101.67</v>
      </c>
      <c r="H41" s="6">
        <f>IFERROR(__xludf.DUMMYFUNCTION("""COMPUTED_VALUE"""),101.67)</f>
        <v>101.67</v>
      </c>
      <c r="I41" s="10">
        <f>IFERROR(__xludf.DUMMYFUNCTION("""COMPUTED_VALUE"""),101.67)</f>
        <v>101.67</v>
      </c>
      <c r="J41" s="8">
        <f>IFERROR(__xludf.DUMMYFUNCTION("""COMPUTED_VALUE"""),101.67)</f>
        <v>101.67</v>
      </c>
      <c r="K41" s="5">
        <f>IFERROR(__xludf.DUMMYFUNCTION("""COMPUTED_VALUE"""),101.67)</f>
        <v>101.67</v>
      </c>
      <c r="L41" s="10">
        <f>IFERROR(__xludf.DUMMYFUNCTION("""COMPUTED_VALUE"""),101.67)</f>
        <v>101.67</v>
      </c>
    </row>
    <row r="42" ht="15.75" customHeight="1">
      <c r="A42" s="4" t="s">
        <v>28</v>
      </c>
      <c r="C42" s="4" t="s">
        <v>44</v>
      </c>
      <c r="D42" s="11" t="s">
        <v>86</v>
      </c>
      <c r="E42" s="11">
        <v>2.0</v>
      </c>
      <c r="F42" s="5">
        <f>IFERROR(__xludf.DUMMYFUNCTION("""COMPUTED_VALUE"""),100.0)</f>
        <v>100</v>
      </c>
      <c r="G42" s="5">
        <f>IFERROR(__xludf.DUMMYFUNCTION("""COMPUTED_VALUE"""),100.0)</f>
        <v>100</v>
      </c>
      <c r="H42" s="6">
        <f>IFERROR(__xludf.DUMMYFUNCTION("""COMPUTED_VALUE"""),100.0)</f>
        <v>100</v>
      </c>
      <c r="I42" s="6">
        <f>IFERROR(__xludf.DUMMYFUNCTION("""COMPUTED_VALUE"""),100.0)</f>
        <v>100</v>
      </c>
      <c r="J42" s="8">
        <f>IFERROR(__xludf.DUMMYFUNCTION("""COMPUTED_VALUE"""),100.0)</f>
        <v>100</v>
      </c>
      <c r="K42" s="5">
        <f>IFERROR(__xludf.DUMMYFUNCTION("""COMPUTED_VALUE"""),100.0)</f>
        <v>100</v>
      </c>
      <c r="L42" s="6">
        <f>IFERROR(__xludf.DUMMYFUNCTION("""COMPUTED_VALUE"""),100.0)</f>
        <v>100</v>
      </c>
    </row>
    <row r="43" ht="15.75" customHeight="1">
      <c r="A43" s="4" t="s">
        <v>28</v>
      </c>
      <c r="B43" s="11">
        <v>12.0</v>
      </c>
      <c r="C43" s="4" t="s">
        <v>47</v>
      </c>
      <c r="D43" s="9" t="s">
        <v>87</v>
      </c>
    </row>
    <row r="44" ht="15.75" customHeight="1">
      <c r="A44" s="4" t="s">
        <v>28</v>
      </c>
      <c r="C44" s="4" t="s">
        <v>44</v>
      </c>
      <c r="D44" s="11" t="s">
        <v>88</v>
      </c>
    </row>
    <row r="45" ht="15.75" customHeight="1">
      <c r="A45" s="4" t="s">
        <v>28</v>
      </c>
      <c r="C45" s="4" t="s">
        <v>44</v>
      </c>
      <c r="D45" s="11" t="s">
        <v>89</v>
      </c>
    </row>
    <row r="46" ht="15.75" customHeight="1">
      <c r="A46" s="4" t="s">
        <v>28</v>
      </c>
      <c r="C46" s="4" t="s">
        <v>44</v>
      </c>
      <c r="D46" s="11" t="s">
        <v>90</v>
      </c>
    </row>
    <row r="47" ht="15.75" customHeight="1">
      <c r="A47" s="4" t="s">
        <v>29</v>
      </c>
      <c r="B47" s="4">
        <v>1.0</v>
      </c>
      <c r="C47" s="4" t="s">
        <v>44</v>
      </c>
      <c r="D47" s="4" t="s">
        <v>45</v>
      </c>
      <c r="E47" s="4">
        <v>14.0</v>
      </c>
    </row>
    <row r="48" ht="15.75" customHeight="1">
      <c r="A48" s="4" t="s">
        <v>29</v>
      </c>
      <c r="B48" s="4">
        <v>2.0</v>
      </c>
      <c r="C48" s="4" t="s">
        <v>44</v>
      </c>
      <c r="D48" s="4" t="s">
        <v>46</v>
      </c>
      <c r="E48" s="4">
        <v>12.0</v>
      </c>
    </row>
    <row r="49" ht="15.75" customHeight="1">
      <c r="A49" s="4" t="s">
        <v>29</v>
      </c>
      <c r="B49" s="4">
        <v>3.0</v>
      </c>
      <c r="C49" s="4" t="s">
        <v>47</v>
      </c>
      <c r="D49" s="9" t="s">
        <v>48</v>
      </c>
      <c r="E49" s="4">
        <v>14.0</v>
      </c>
    </row>
    <row r="50" ht="15.75" customHeight="1">
      <c r="A50" s="4" t="s">
        <v>29</v>
      </c>
      <c r="C50" s="4" t="s">
        <v>44</v>
      </c>
      <c r="D50" s="4" t="s">
        <v>49</v>
      </c>
      <c r="E50" s="4">
        <v>6.0</v>
      </c>
    </row>
    <row r="51" ht="15.75" customHeight="1">
      <c r="A51" s="4" t="s">
        <v>29</v>
      </c>
      <c r="C51" s="4" t="s">
        <v>44</v>
      </c>
      <c r="D51" s="4" t="s">
        <v>50</v>
      </c>
      <c r="E51" s="4">
        <v>6.0</v>
      </c>
    </row>
    <row r="52" ht="15.75" customHeight="1">
      <c r="A52" s="4" t="s">
        <v>29</v>
      </c>
      <c r="C52" s="4" t="s">
        <v>44</v>
      </c>
      <c r="D52" s="4" t="s">
        <v>51</v>
      </c>
      <c r="E52" s="4">
        <v>2.0</v>
      </c>
    </row>
    <row r="53" ht="15.75" customHeight="1">
      <c r="A53" s="4" t="s">
        <v>29</v>
      </c>
      <c r="B53" s="4">
        <v>4.0</v>
      </c>
      <c r="C53" s="4" t="s">
        <v>47</v>
      </c>
      <c r="D53" s="9" t="s">
        <v>52</v>
      </c>
      <c r="E53" s="4">
        <v>10.0</v>
      </c>
    </row>
    <row r="54" ht="15.75" customHeight="1">
      <c r="A54" s="4" t="s">
        <v>29</v>
      </c>
      <c r="C54" s="4" t="s">
        <v>44</v>
      </c>
      <c r="D54" s="4" t="s">
        <v>53</v>
      </c>
      <c r="E54" s="4">
        <v>5.0</v>
      </c>
    </row>
    <row r="55" ht="15.75" customHeight="1">
      <c r="A55" s="4" t="s">
        <v>29</v>
      </c>
      <c r="C55" s="4" t="s">
        <v>44</v>
      </c>
      <c r="D55" s="4" t="s">
        <v>54</v>
      </c>
    </row>
    <row r="56" ht="15.75" customHeight="1">
      <c r="A56" s="4" t="s">
        <v>29</v>
      </c>
      <c r="C56" s="4" t="s">
        <v>44</v>
      </c>
      <c r="D56" s="4" t="s">
        <v>55</v>
      </c>
    </row>
    <row r="57" ht="15.75" customHeight="1">
      <c r="A57" s="4" t="s">
        <v>29</v>
      </c>
      <c r="C57" s="4" t="s">
        <v>44</v>
      </c>
      <c r="D57" s="4" t="s">
        <v>56</v>
      </c>
    </row>
    <row r="58" ht="15.75" customHeight="1">
      <c r="A58" s="4" t="s">
        <v>29</v>
      </c>
      <c r="C58" s="4" t="s">
        <v>44</v>
      </c>
      <c r="D58" s="4" t="s">
        <v>57</v>
      </c>
      <c r="E58" s="4">
        <v>5.0</v>
      </c>
    </row>
    <row r="59" ht="15.75" customHeight="1">
      <c r="A59" s="4" t="s">
        <v>29</v>
      </c>
      <c r="B59" s="4">
        <v>5.0</v>
      </c>
      <c r="C59" s="4" t="s">
        <v>47</v>
      </c>
      <c r="D59" s="9" t="s">
        <v>58</v>
      </c>
      <c r="E59" s="4">
        <v>10.0</v>
      </c>
    </row>
    <row r="60" ht="15.75" customHeight="1">
      <c r="A60" s="4" t="s">
        <v>29</v>
      </c>
      <c r="C60" s="4" t="s">
        <v>44</v>
      </c>
      <c r="D60" s="4" t="s">
        <v>59</v>
      </c>
      <c r="E60" s="4">
        <v>0.5</v>
      </c>
    </row>
    <row r="61" ht="15.75" customHeight="1">
      <c r="A61" s="4" t="s">
        <v>29</v>
      </c>
      <c r="C61" s="4" t="s">
        <v>44</v>
      </c>
      <c r="D61" s="4" t="s">
        <v>60</v>
      </c>
      <c r="E61" s="4">
        <v>1.5</v>
      </c>
    </row>
    <row r="62" ht="15.75" customHeight="1">
      <c r="A62" s="4" t="s">
        <v>29</v>
      </c>
      <c r="C62" s="4" t="s">
        <v>44</v>
      </c>
      <c r="D62" s="4" t="s">
        <v>61</v>
      </c>
      <c r="E62" s="4">
        <v>2.0</v>
      </c>
    </row>
    <row r="63" ht="15.75" customHeight="1">
      <c r="A63" s="4" t="s">
        <v>29</v>
      </c>
      <c r="C63" s="4" t="s">
        <v>44</v>
      </c>
      <c r="D63" s="4" t="s">
        <v>62</v>
      </c>
      <c r="E63" s="4">
        <v>4.0</v>
      </c>
    </row>
    <row r="64" ht="15.75" customHeight="1">
      <c r="A64" s="4" t="s">
        <v>29</v>
      </c>
      <c r="C64" s="4" t="s">
        <v>44</v>
      </c>
      <c r="D64" s="4" t="s">
        <v>63</v>
      </c>
      <c r="E64" s="4">
        <v>2.0</v>
      </c>
    </row>
    <row r="65" ht="15.75" customHeight="1">
      <c r="A65" s="4" t="s">
        <v>29</v>
      </c>
      <c r="B65" s="4">
        <v>6.0</v>
      </c>
      <c r="C65" s="4" t="s">
        <v>47</v>
      </c>
      <c r="D65" s="9" t="s">
        <v>64</v>
      </c>
      <c r="E65" s="4">
        <v>8.0</v>
      </c>
    </row>
    <row r="66" ht="15.75" customHeight="1">
      <c r="A66" s="4" t="s">
        <v>29</v>
      </c>
      <c r="C66" s="4" t="s">
        <v>44</v>
      </c>
      <c r="D66" s="4" t="s">
        <v>65</v>
      </c>
      <c r="E66" s="4">
        <v>2.0</v>
      </c>
    </row>
    <row r="67" ht="15.75" customHeight="1">
      <c r="A67" s="4" t="s">
        <v>29</v>
      </c>
      <c r="C67" s="4" t="s">
        <v>44</v>
      </c>
      <c r="D67" s="4" t="s">
        <v>66</v>
      </c>
      <c r="E67" s="4">
        <v>2.0</v>
      </c>
    </row>
    <row r="68" ht="15.75" customHeight="1">
      <c r="A68" s="4" t="s">
        <v>29</v>
      </c>
      <c r="C68" s="4" t="s">
        <v>44</v>
      </c>
      <c r="D68" s="4" t="s">
        <v>67</v>
      </c>
      <c r="E68" s="4">
        <v>2.0</v>
      </c>
    </row>
    <row r="69" ht="15.75" customHeight="1">
      <c r="A69" s="4" t="s">
        <v>29</v>
      </c>
      <c r="C69" s="4" t="s">
        <v>44</v>
      </c>
      <c r="D69" s="4" t="s">
        <v>68</v>
      </c>
      <c r="E69" s="4">
        <v>1.2</v>
      </c>
    </row>
    <row r="70" ht="15.75" customHeight="1">
      <c r="A70" s="4" t="s">
        <v>29</v>
      </c>
      <c r="C70" s="4" t="s">
        <v>44</v>
      </c>
      <c r="D70" s="4" t="s">
        <v>69</v>
      </c>
      <c r="E70" s="4">
        <v>0.8</v>
      </c>
    </row>
    <row r="71" ht="15.75" customHeight="1">
      <c r="A71" s="4" t="s">
        <v>29</v>
      </c>
      <c r="B71" s="4">
        <v>7.0</v>
      </c>
      <c r="C71" s="4" t="s">
        <v>47</v>
      </c>
      <c r="D71" s="9" t="s">
        <v>70</v>
      </c>
      <c r="E71" s="4">
        <v>7.0</v>
      </c>
    </row>
    <row r="72" ht="15.75" customHeight="1">
      <c r="A72" s="4" t="s">
        <v>29</v>
      </c>
      <c r="C72" s="4" t="s">
        <v>44</v>
      </c>
      <c r="D72" s="4" t="s">
        <v>71</v>
      </c>
      <c r="E72" s="4">
        <v>5.0</v>
      </c>
    </row>
    <row r="73" ht="15.75" customHeight="1">
      <c r="A73" s="4" t="s">
        <v>29</v>
      </c>
      <c r="C73" s="4" t="s">
        <v>44</v>
      </c>
      <c r="D73" s="4" t="s">
        <v>72</v>
      </c>
      <c r="E73" s="4">
        <v>2.0</v>
      </c>
    </row>
    <row r="74" ht="15.75" customHeight="1">
      <c r="A74" s="4" t="s">
        <v>29</v>
      </c>
      <c r="B74" s="4">
        <v>8.0</v>
      </c>
      <c r="C74" s="4" t="s">
        <v>47</v>
      </c>
      <c r="D74" s="9" t="s">
        <v>73</v>
      </c>
      <c r="E74" s="4">
        <v>8.0</v>
      </c>
    </row>
    <row r="75" ht="15.75" customHeight="1">
      <c r="A75" s="4" t="s">
        <v>29</v>
      </c>
      <c r="C75" s="4" t="s">
        <v>44</v>
      </c>
      <c r="D75" s="4" t="s">
        <v>74</v>
      </c>
      <c r="E75" s="4">
        <v>6.0</v>
      </c>
    </row>
    <row r="76" ht="15.75" customHeight="1">
      <c r="A76" s="4" t="s">
        <v>29</v>
      </c>
      <c r="C76" s="4" t="s">
        <v>44</v>
      </c>
      <c r="D76" s="4" t="s">
        <v>75</v>
      </c>
      <c r="E76" s="4">
        <v>2.0</v>
      </c>
    </row>
    <row r="77" ht="15.75" customHeight="1">
      <c r="A77" s="4" t="s">
        <v>29</v>
      </c>
      <c r="B77" s="4">
        <v>9.0</v>
      </c>
      <c r="C77" s="4" t="s">
        <v>47</v>
      </c>
      <c r="D77" s="9" t="s">
        <v>76</v>
      </c>
      <c r="E77" s="4">
        <v>6.0</v>
      </c>
    </row>
    <row r="78" ht="15.75" customHeight="1">
      <c r="A78" s="4" t="s">
        <v>29</v>
      </c>
      <c r="C78" s="4" t="s">
        <v>44</v>
      </c>
      <c r="D78" s="4" t="s">
        <v>77</v>
      </c>
      <c r="E78" s="4">
        <v>2.0</v>
      </c>
    </row>
    <row r="79" ht="15.75" customHeight="1">
      <c r="A79" s="4" t="s">
        <v>29</v>
      </c>
      <c r="C79" s="4" t="s">
        <v>44</v>
      </c>
      <c r="D79" s="4" t="s">
        <v>78</v>
      </c>
      <c r="E79" s="4">
        <v>2.0</v>
      </c>
    </row>
    <row r="80" ht="15.75" customHeight="1">
      <c r="A80" s="4" t="s">
        <v>29</v>
      </c>
      <c r="C80" s="4" t="s">
        <v>44</v>
      </c>
      <c r="D80" s="4" t="s">
        <v>79</v>
      </c>
      <c r="E80" s="4">
        <v>2.0</v>
      </c>
    </row>
    <row r="81" ht="15.75" customHeight="1">
      <c r="A81" s="4" t="s">
        <v>29</v>
      </c>
      <c r="B81" s="4">
        <v>10.0</v>
      </c>
      <c r="C81" s="4" t="s">
        <v>47</v>
      </c>
      <c r="D81" s="9" t="s">
        <v>80</v>
      </c>
      <c r="E81" s="4">
        <v>7.0</v>
      </c>
    </row>
    <row r="82" ht="15.75" customHeight="1">
      <c r="A82" s="4" t="s">
        <v>29</v>
      </c>
      <c r="C82" s="4" t="s">
        <v>44</v>
      </c>
      <c r="D82" s="4" t="s">
        <v>81</v>
      </c>
      <c r="E82" s="4">
        <v>3.0</v>
      </c>
    </row>
    <row r="83" ht="15.75" customHeight="1">
      <c r="A83" s="4" t="s">
        <v>29</v>
      </c>
      <c r="C83" s="4" t="s">
        <v>44</v>
      </c>
      <c r="D83" s="4" t="s">
        <v>82</v>
      </c>
      <c r="E83" s="4">
        <v>2.0</v>
      </c>
    </row>
    <row r="84" ht="15.75" customHeight="1">
      <c r="A84" s="4" t="s">
        <v>29</v>
      </c>
      <c r="C84" s="4" t="s">
        <v>44</v>
      </c>
      <c r="D84" s="4" t="s">
        <v>83</v>
      </c>
      <c r="E84" s="4">
        <v>2.0</v>
      </c>
    </row>
    <row r="85" ht="15.75" customHeight="1">
      <c r="A85" s="4" t="s">
        <v>29</v>
      </c>
      <c r="B85" s="11">
        <v>11.0</v>
      </c>
      <c r="C85" s="4" t="s">
        <v>47</v>
      </c>
      <c r="D85" s="9" t="s">
        <v>84</v>
      </c>
      <c r="E85" s="11">
        <v>4.0</v>
      </c>
    </row>
    <row r="86" ht="15.75" customHeight="1">
      <c r="A86" s="4" t="s">
        <v>29</v>
      </c>
      <c r="C86" s="4" t="b">
        <v>0</v>
      </c>
      <c r="D86" s="11" t="s">
        <v>85</v>
      </c>
      <c r="E86" s="11">
        <v>2.0</v>
      </c>
    </row>
    <row r="87" ht="15.75" customHeight="1">
      <c r="A87" s="4" t="s">
        <v>29</v>
      </c>
      <c r="C87" s="4" t="s">
        <v>44</v>
      </c>
      <c r="D87" s="11" t="s">
        <v>86</v>
      </c>
      <c r="E87" s="11">
        <v>2.0</v>
      </c>
    </row>
    <row r="88" ht="15.75" customHeight="1">
      <c r="A88" s="4" t="s">
        <v>29</v>
      </c>
      <c r="B88" s="11">
        <v>12.0</v>
      </c>
      <c r="C88" s="4" t="s">
        <v>47</v>
      </c>
      <c r="D88" s="9" t="s">
        <v>87</v>
      </c>
    </row>
    <row r="89" ht="15.75" customHeight="1">
      <c r="A89" s="4" t="s">
        <v>29</v>
      </c>
      <c r="C89" s="4" t="s">
        <v>44</v>
      </c>
      <c r="D89" s="11" t="s">
        <v>88</v>
      </c>
    </row>
    <row r="90" ht="15.75" customHeight="1">
      <c r="A90" s="4" t="s">
        <v>29</v>
      </c>
      <c r="C90" s="4" t="s">
        <v>44</v>
      </c>
      <c r="D90" s="11" t="s">
        <v>89</v>
      </c>
    </row>
    <row r="91" ht="15.75" customHeight="1">
      <c r="A91" s="4" t="s">
        <v>29</v>
      </c>
      <c r="C91" s="4" t="s">
        <v>44</v>
      </c>
      <c r="D91" s="11" t="s">
        <v>90</v>
      </c>
    </row>
    <row r="92" ht="15.75" customHeight="1">
      <c r="A92" s="4" t="s">
        <v>30</v>
      </c>
      <c r="B92" s="4">
        <v>1.0</v>
      </c>
      <c r="C92" s="4" t="s">
        <v>44</v>
      </c>
      <c r="D92" s="4" t="s">
        <v>45</v>
      </c>
      <c r="E92" s="4">
        <v>14.0</v>
      </c>
    </row>
    <row r="93" ht="15.75" customHeight="1">
      <c r="A93" s="4" t="s">
        <v>30</v>
      </c>
      <c r="B93" s="4">
        <v>2.0</v>
      </c>
      <c r="C93" s="4" t="s">
        <v>44</v>
      </c>
      <c r="D93" s="4" t="s">
        <v>46</v>
      </c>
      <c r="E93" s="4">
        <v>12.0</v>
      </c>
    </row>
    <row r="94" ht="15.75" customHeight="1">
      <c r="A94" s="4" t="s">
        <v>30</v>
      </c>
      <c r="B94" s="4">
        <v>3.0</v>
      </c>
      <c r="C94" s="4" t="s">
        <v>47</v>
      </c>
      <c r="D94" s="9" t="s">
        <v>48</v>
      </c>
      <c r="E94" s="4">
        <v>14.0</v>
      </c>
    </row>
    <row r="95" ht="15.75" customHeight="1">
      <c r="A95" s="4" t="s">
        <v>30</v>
      </c>
      <c r="C95" s="4" t="s">
        <v>44</v>
      </c>
      <c r="D95" s="4" t="s">
        <v>49</v>
      </c>
      <c r="E95" s="4">
        <v>6.0</v>
      </c>
    </row>
    <row r="96" ht="15.75" customHeight="1">
      <c r="A96" s="4" t="s">
        <v>30</v>
      </c>
      <c r="C96" s="4" t="s">
        <v>44</v>
      </c>
      <c r="D96" s="4" t="s">
        <v>50</v>
      </c>
      <c r="E96" s="4">
        <v>6.0</v>
      </c>
    </row>
    <row r="97" ht="15.75" customHeight="1">
      <c r="A97" s="4" t="s">
        <v>30</v>
      </c>
      <c r="C97" s="4" t="s">
        <v>44</v>
      </c>
      <c r="D97" s="4" t="s">
        <v>51</v>
      </c>
      <c r="E97" s="4">
        <v>2.0</v>
      </c>
    </row>
    <row r="98" ht="15.75" customHeight="1">
      <c r="A98" s="4" t="s">
        <v>30</v>
      </c>
      <c r="B98" s="4">
        <v>4.0</v>
      </c>
      <c r="C98" s="4" t="s">
        <v>47</v>
      </c>
      <c r="D98" s="9" t="s">
        <v>52</v>
      </c>
      <c r="E98" s="4">
        <v>10.0</v>
      </c>
    </row>
    <row r="99" ht="15.75" customHeight="1">
      <c r="A99" s="4" t="s">
        <v>30</v>
      </c>
      <c r="C99" s="4" t="s">
        <v>44</v>
      </c>
      <c r="D99" s="4" t="s">
        <v>53</v>
      </c>
      <c r="E99" s="4">
        <v>5.0</v>
      </c>
    </row>
    <row r="100" ht="15.75" customHeight="1">
      <c r="A100" s="4" t="s">
        <v>30</v>
      </c>
      <c r="C100" s="4" t="s">
        <v>44</v>
      </c>
      <c r="D100" s="4" t="s">
        <v>54</v>
      </c>
    </row>
    <row r="101" ht="15.75" customHeight="1">
      <c r="A101" s="4" t="s">
        <v>30</v>
      </c>
      <c r="C101" s="4" t="s">
        <v>44</v>
      </c>
      <c r="D101" s="4" t="s">
        <v>55</v>
      </c>
    </row>
    <row r="102" ht="15.75" customHeight="1">
      <c r="A102" s="4" t="s">
        <v>30</v>
      </c>
      <c r="C102" s="4" t="s">
        <v>44</v>
      </c>
      <c r="D102" s="4" t="s">
        <v>56</v>
      </c>
    </row>
    <row r="103" ht="15.75" customHeight="1">
      <c r="A103" s="4" t="s">
        <v>30</v>
      </c>
      <c r="C103" s="4" t="s">
        <v>44</v>
      </c>
      <c r="D103" s="4" t="s">
        <v>57</v>
      </c>
      <c r="E103" s="4">
        <v>5.0</v>
      </c>
    </row>
    <row r="104" ht="15.75" customHeight="1">
      <c r="A104" s="4" t="s">
        <v>30</v>
      </c>
      <c r="B104" s="4">
        <v>5.0</v>
      </c>
      <c r="C104" s="4" t="s">
        <v>47</v>
      </c>
      <c r="D104" s="9" t="s">
        <v>58</v>
      </c>
      <c r="E104" s="4">
        <v>10.0</v>
      </c>
    </row>
    <row r="105" ht="15.75" customHeight="1">
      <c r="A105" s="4" t="s">
        <v>30</v>
      </c>
      <c r="C105" s="4" t="s">
        <v>44</v>
      </c>
      <c r="D105" s="4" t="s">
        <v>59</v>
      </c>
      <c r="E105" s="4">
        <v>0.5</v>
      </c>
    </row>
    <row r="106" ht="15.75" customHeight="1">
      <c r="A106" s="4" t="s">
        <v>30</v>
      </c>
      <c r="C106" s="4" t="s">
        <v>44</v>
      </c>
      <c r="D106" s="4" t="s">
        <v>60</v>
      </c>
      <c r="E106" s="4">
        <v>1.5</v>
      </c>
    </row>
    <row r="107" ht="15.75" customHeight="1">
      <c r="A107" s="4" t="s">
        <v>30</v>
      </c>
      <c r="C107" s="4" t="s">
        <v>44</v>
      </c>
      <c r="D107" s="4" t="s">
        <v>61</v>
      </c>
      <c r="E107" s="4">
        <v>2.0</v>
      </c>
    </row>
    <row r="108" ht="15.75" customHeight="1">
      <c r="A108" s="4" t="s">
        <v>30</v>
      </c>
      <c r="C108" s="4" t="s">
        <v>44</v>
      </c>
      <c r="D108" s="4" t="s">
        <v>62</v>
      </c>
      <c r="E108" s="4">
        <v>4.0</v>
      </c>
    </row>
    <row r="109" ht="15.75" customHeight="1">
      <c r="A109" s="4" t="s">
        <v>30</v>
      </c>
      <c r="C109" s="4" t="s">
        <v>44</v>
      </c>
      <c r="D109" s="4" t="s">
        <v>63</v>
      </c>
      <c r="E109" s="4">
        <v>2.0</v>
      </c>
    </row>
    <row r="110" ht="15.75" customHeight="1">
      <c r="A110" s="4" t="s">
        <v>30</v>
      </c>
      <c r="B110" s="4">
        <v>6.0</v>
      </c>
      <c r="C110" s="4" t="s">
        <v>47</v>
      </c>
      <c r="D110" s="9" t="s">
        <v>64</v>
      </c>
      <c r="E110" s="4">
        <v>8.0</v>
      </c>
    </row>
    <row r="111" ht="15.75" customHeight="1">
      <c r="A111" s="4" t="s">
        <v>30</v>
      </c>
      <c r="C111" s="4" t="s">
        <v>44</v>
      </c>
      <c r="D111" s="4" t="s">
        <v>65</v>
      </c>
      <c r="E111" s="4">
        <v>2.0</v>
      </c>
    </row>
    <row r="112" ht="15.75" customHeight="1">
      <c r="A112" s="4" t="s">
        <v>30</v>
      </c>
      <c r="C112" s="4" t="s">
        <v>44</v>
      </c>
      <c r="D112" s="4" t="s">
        <v>66</v>
      </c>
      <c r="E112" s="4">
        <v>2.0</v>
      </c>
    </row>
    <row r="113" ht="15.75" customHeight="1">
      <c r="A113" s="4" t="s">
        <v>30</v>
      </c>
      <c r="C113" s="4" t="s">
        <v>44</v>
      </c>
      <c r="D113" s="4" t="s">
        <v>67</v>
      </c>
      <c r="E113" s="4">
        <v>2.0</v>
      </c>
    </row>
    <row r="114" ht="15.75" customHeight="1">
      <c r="A114" s="4" t="s">
        <v>30</v>
      </c>
      <c r="C114" s="4" t="s">
        <v>44</v>
      </c>
      <c r="D114" s="4" t="s">
        <v>68</v>
      </c>
      <c r="E114" s="4">
        <v>1.2</v>
      </c>
    </row>
    <row r="115" ht="15.75" customHeight="1">
      <c r="A115" s="4" t="s">
        <v>30</v>
      </c>
      <c r="C115" s="4" t="s">
        <v>44</v>
      </c>
      <c r="D115" s="4" t="s">
        <v>69</v>
      </c>
      <c r="E115" s="4">
        <v>0.8</v>
      </c>
    </row>
    <row r="116" ht="15.75" customHeight="1">
      <c r="A116" s="4" t="s">
        <v>30</v>
      </c>
      <c r="B116" s="4">
        <v>7.0</v>
      </c>
      <c r="C116" s="4" t="s">
        <v>47</v>
      </c>
      <c r="D116" s="9" t="s">
        <v>70</v>
      </c>
      <c r="E116" s="4">
        <v>7.0</v>
      </c>
    </row>
    <row r="117" ht="15.75" customHeight="1">
      <c r="A117" s="4" t="s">
        <v>30</v>
      </c>
      <c r="C117" s="4" t="s">
        <v>44</v>
      </c>
      <c r="D117" s="4" t="s">
        <v>71</v>
      </c>
      <c r="E117" s="4">
        <v>5.0</v>
      </c>
    </row>
    <row r="118" ht="15.75" customHeight="1">
      <c r="A118" s="4" t="s">
        <v>30</v>
      </c>
      <c r="C118" s="4" t="s">
        <v>44</v>
      </c>
      <c r="D118" s="4" t="s">
        <v>72</v>
      </c>
      <c r="E118" s="4">
        <v>2.0</v>
      </c>
    </row>
    <row r="119" ht="15.75" customHeight="1">
      <c r="A119" s="4" t="s">
        <v>30</v>
      </c>
      <c r="B119" s="4">
        <v>8.0</v>
      </c>
      <c r="C119" s="4" t="s">
        <v>47</v>
      </c>
      <c r="D119" s="9" t="s">
        <v>73</v>
      </c>
      <c r="E119" s="4">
        <v>8.0</v>
      </c>
    </row>
    <row r="120" ht="15.75" customHeight="1">
      <c r="A120" s="4" t="s">
        <v>30</v>
      </c>
      <c r="C120" s="4" t="s">
        <v>44</v>
      </c>
      <c r="D120" s="4" t="s">
        <v>74</v>
      </c>
      <c r="E120" s="4">
        <v>6.0</v>
      </c>
    </row>
    <row r="121" ht="15.75" customHeight="1">
      <c r="A121" s="4" t="s">
        <v>30</v>
      </c>
      <c r="C121" s="4" t="s">
        <v>44</v>
      </c>
      <c r="D121" s="4" t="s">
        <v>75</v>
      </c>
      <c r="E121" s="4">
        <v>2.0</v>
      </c>
    </row>
    <row r="122" ht="15.75" customHeight="1">
      <c r="A122" s="4" t="s">
        <v>30</v>
      </c>
      <c r="B122" s="4">
        <v>9.0</v>
      </c>
      <c r="C122" s="4" t="s">
        <v>47</v>
      </c>
      <c r="D122" s="9" t="s">
        <v>76</v>
      </c>
      <c r="E122" s="4">
        <v>6.0</v>
      </c>
    </row>
    <row r="123" ht="15.75" customHeight="1">
      <c r="A123" s="4" t="s">
        <v>30</v>
      </c>
      <c r="C123" s="4" t="s">
        <v>44</v>
      </c>
      <c r="D123" s="4" t="s">
        <v>77</v>
      </c>
      <c r="E123" s="4">
        <v>2.0</v>
      </c>
    </row>
    <row r="124" ht="15.75" customHeight="1">
      <c r="A124" s="4" t="s">
        <v>30</v>
      </c>
      <c r="C124" s="4" t="s">
        <v>44</v>
      </c>
      <c r="D124" s="4" t="s">
        <v>78</v>
      </c>
      <c r="E124" s="4">
        <v>2.0</v>
      </c>
    </row>
    <row r="125" ht="15.75" customHeight="1">
      <c r="A125" s="4" t="s">
        <v>30</v>
      </c>
      <c r="C125" s="4" t="s">
        <v>44</v>
      </c>
      <c r="D125" s="4" t="s">
        <v>79</v>
      </c>
      <c r="E125" s="4">
        <v>2.0</v>
      </c>
    </row>
    <row r="126" ht="15.75" customHeight="1">
      <c r="A126" s="4" t="s">
        <v>30</v>
      </c>
      <c r="B126" s="4">
        <v>10.0</v>
      </c>
      <c r="C126" s="4" t="s">
        <v>47</v>
      </c>
      <c r="D126" s="9" t="s">
        <v>80</v>
      </c>
      <c r="E126" s="4">
        <v>7.0</v>
      </c>
    </row>
    <row r="127" ht="15.75" customHeight="1">
      <c r="A127" s="4" t="s">
        <v>30</v>
      </c>
      <c r="C127" s="4" t="s">
        <v>44</v>
      </c>
      <c r="D127" s="4" t="s">
        <v>81</v>
      </c>
      <c r="E127" s="4">
        <v>3.0</v>
      </c>
    </row>
    <row r="128" ht="15.75" customHeight="1">
      <c r="A128" s="4" t="s">
        <v>30</v>
      </c>
      <c r="C128" s="4" t="s">
        <v>44</v>
      </c>
      <c r="D128" s="4" t="s">
        <v>82</v>
      </c>
      <c r="E128" s="4">
        <v>2.0</v>
      </c>
    </row>
    <row r="129" ht="15.75" customHeight="1">
      <c r="A129" s="4" t="s">
        <v>30</v>
      </c>
      <c r="C129" s="4" t="s">
        <v>44</v>
      </c>
      <c r="D129" s="4" t="s">
        <v>83</v>
      </c>
      <c r="E129" s="4">
        <v>2.0</v>
      </c>
    </row>
    <row r="130" ht="15.75" customHeight="1">
      <c r="A130" s="4" t="s">
        <v>30</v>
      </c>
      <c r="B130" s="11">
        <v>11.0</v>
      </c>
      <c r="C130" s="4" t="s">
        <v>47</v>
      </c>
      <c r="D130" s="9" t="s">
        <v>84</v>
      </c>
      <c r="E130" s="11">
        <v>4.0</v>
      </c>
    </row>
    <row r="131" ht="15.75" customHeight="1">
      <c r="A131" s="4" t="s">
        <v>30</v>
      </c>
      <c r="C131" s="4" t="b">
        <v>0</v>
      </c>
      <c r="D131" s="11" t="s">
        <v>85</v>
      </c>
      <c r="E131" s="11">
        <v>2.0</v>
      </c>
    </row>
    <row r="132" ht="15.75" customHeight="1">
      <c r="A132" s="4" t="s">
        <v>30</v>
      </c>
      <c r="C132" s="4" t="s">
        <v>44</v>
      </c>
      <c r="D132" s="11" t="s">
        <v>86</v>
      </c>
      <c r="E132" s="11">
        <v>2.0</v>
      </c>
    </row>
    <row r="133" ht="15.75" customHeight="1">
      <c r="A133" s="4" t="s">
        <v>30</v>
      </c>
      <c r="B133" s="11">
        <v>12.0</v>
      </c>
      <c r="C133" s="4" t="s">
        <v>47</v>
      </c>
      <c r="D133" s="9" t="s">
        <v>87</v>
      </c>
    </row>
    <row r="134" ht="15.75" customHeight="1">
      <c r="A134" s="4" t="s">
        <v>30</v>
      </c>
      <c r="C134" s="4" t="s">
        <v>44</v>
      </c>
      <c r="D134" s="11" t="s">
        <v>88</v>
      </c>
    </row>
    <row r="135" ht="15.75" customHeight="1">
      <c r="A135" s="4" t="s">
        <v>30</v>
      </c>
      <c r="C135" s="4" t="s">
        <v>44</v>
      </c>
      <c r="D135" s="11" t="s">
        <v>89</v>
      </c>
    </row>
    <row r="136" ht="15.75" customHeight="1">
      <c r="A136" s="4" t="s">
        <v>30</v>
      </c>
      <c r="C136" s="4" t="s">
        <v>44</v>
      </c>
      <c r="D136" s="11" t="s">
        <v>90</v>
      </c>
    </row>
    <row r="137" ht="15.75" customHeight="1">
      <c r="A137" s="4" t="s">
        <v>31</v>
      </c>
      <c r="B137" s="4">
        <v>1.0</v>
      </c>
      <c r="C137" s="4" t="s">
        <v>44</v>
      </c>
      <c r="D137" s="4" t="s">
        <v>45</v>
      </c>
      <c r="E137" s="4">
        <v>14.0</v>
      </c>
    </row>
    <row r="138" ht="15.75" customHeight="1">
      <c r="A138" s="4" t="s">
        <v>31</v>
      </c>
      <c r="B138" s="4">
        <v>2.0</v>
      </c>
      <c r="C138" s="4" t="s">
        <v>44</v>
      </c>
      <c r="D138" s="4" t="s">
        <v>46</v>
      </c>
      <c r="E138" s="4">
        <v>12.0</v>
      </c>
    </row>
    <row r="139" ht="15.75" customHeight="1">
      <c r="A139" s="4" t="s">
        <v>31</v>
      </c>
      <c r="B139" s="4">
        <v>3.0</v>
      </c>
      <c r="C139" s="4" t="s">
        <v>47</v>
      </c>
      <c r="D139" s="9" t="s">
        <v>48</v>
      </c>
      <c r="E139" s="4">
        <v>14.0</v>
      </c>
    </row>
    <row r="140" ht="15.75" customHeight="1">
      <c r="A140" s="4" t="s">
        <v>31</v>
      </c>
      <c r="C140" s="4" t="s">
        <v>44</v>
      </c>
      <c r="D140" s="4" t="s">
        <v>49</v>
      </c>
      <c r="E140" s="4">
        <v>6.0</v>
      </c>
    </row>
    <row r="141" ht="15.75" customHeight="1">
      <c r="A141" s="4" t="s">
        <v>31</v>
      </c>
      <c r="C141" s="4" t="s">
        <v>44</v>
      </c>
      <c r="D141" s="4" t="s">
        <v>50</v>
      </c>
      <c r="E141" s="4">
        <v>6.0</v>
      </c>
    </row>
    <row r="142" ht="15.75" customHeight="1">
      <c r="A142" s="4" t="s">
        <v>31</v>
      </c>
      <c r="C142" s="4" t="s">
        <v>44</v>
      </c>
      <c r="D142" s="4" t="s">
        <v>51</v>
      </c>
      <c r="E142" s="4">
        <v>2.0</v>
      </c>
    </row>
    <row r="143" ht="15.75" customHeight="1">
      <c r="A143" s="4" t="s">
        <v>31</v>
      </c>
      <c r="B143" s="4">
        <v>4.0</v>
      </c>
      <c r="C143" s="4" t="s">
        <v>47</v>
      </c>
      <c r="D143" s="9" t="s">
        <v>52</v>
      </c>
      <c r="E143" s="4">
        <v>10.0</v>
      </c>
    </row>
    <row r="144" ht="15.75" customHeight="1">
      <c r="A144" s="4" t="s">
        <v>31</v>
      </c>
      <c r="C144" s="4" t="s">
        <v>44</v>
      </c>
      <c r="D144" s="4" t="s">
        <v>53</v>
      </c>
      <c r="E144" s="4">
        <v>5.0</v>
      </c>
    </row>
    <row r="145" ht="15.75" customHeight="1">
      <c r="A145" s="4" t="s">
        <v>31</v>
      </c>
      <c r="C145" s="4" t="s">
        <v>44</v>
      </c>
      <c r="D145" s="4" t="s">
        <v>54</v>
      </c>
    </row>
    <row r="146" ht="15.75" customHeight="1">
      <c r="A146" s="4" t="s">
        <v>31</v>
      </c>
      <c r="C146" s="4" t="s">
        <v>44</v>
      </c>
      <c r="D146" s="4" t="s">
        <v>55</v>
      </c>
    </row>
    <row r="147" ht="15.75" customHeight="1">
      <c r="A147" s="4" t="s">
        <v>31</v>
      </c>
      <c r="C147" s="4" t="s">
        <v>44</v>
      </c>
      <c r="D147" s="4" t="s">
        <v>56</v>
      </c>
    </row>
    <row r="148" ht="15.75" customHeight="1">
      <c r="A148" s="4" t="s">
        <v>31</v>
      </c>
      <c r="C148" s="4" t="s">
        <v>44</v>
      </c>
      <c r="D148" s="4" t="s">
        <v>57</v>
      </c>
      <c r="E148" s="4">
        <v>5.0</v>
      </c>
    </row>
    <row r="149" ht="15.75" customHeight="1">
      <c r="A149" s="4" t="s">
        <v>31</v>
      </c>
      <c r="B149" s="4">
        <v>5.0</v>
      </c>
      <c r="C149" s="4" t="s">
        <v>47</v>
      </c>
      <c r="D149" s="9" t="s">
        <v>58</v>
      </c>
      <c r="E149" s="4">
        <v>10.0</v>
      </c>
    </row>
    <row r="150" ht="15.75" customHeight="1">
      <c r="A150" s="4" t="s">
        <v>31</v>
      </c>
      <c r="C150" s="4" t="s">
        <v>44</v>
      </c>
      <c r="D150" s="4" t="s">
        <v>59</v>
      </c>
      <c r="E150" s="4">
        <v>0.5</v>
      </c>
    </row>
    <row r="151" ht="15.75" customHeight="1">
      <c r="A151" s="4" t="s">
        <v>31</v>
      </c>
      <c r="C151" s="4" t="s">
        <v>44</v>
      </c>
      <c r="D151" s="4" t="s">
        <v>60</v>
      </c>
      <c r="E151" s="4">
        <v>1.5</v>
      </c>
    </row>
    <row r="152" ht="15.75" customHeight="1">
      <c r="A152" s="4" t="s">
        <v>31</v>
      </c>
      <c r="C152" s="4" t="s">
        <v>44</v>
      </c>
      <c r="D152" s="4" t="s">
        <v>61</v>
      </c>
      <c r="E152" s="4">
        <v>2.0</v>
      </c>
    </row>
    <row r="153" ht="15.75" customHeight="1">
      <c r="A153" s="4" t="s">
        <v>31</v>
      </c>
      <c r="C153" s="4" t="s">
        <v>44</v>
      </c>
      <c r="D153" s="4" t="s">
        <v>62</v>
      </c>
      <c r="E153" s="4">
        <v>4.0</v>
      </c>
    </row>
    <row r="154" ht="15.75" customHeight="1">
      <c r="A154" s="4" t="s">
        <v>31</v>
      </c>
      <c r="C154" s="4" t="s">
        <v>44</v>
      </c>
      <c r="D154" s="4" t="s">
        <v>63</v>
      </c>
      <c r="E154" s="4">
        <v>2.0</v>
      </c>
    </row>
    <row r="155" ht="15.75" customHeight="1">
      <c r="A155" s="4" t="s">
        <v>31</v>
      </c>
      <c r="B155" s="4">
        <v>6.0</v>
      </c>
      <c r="C155" s="4" t="s">
        <v>47</v>
      </c>
      <c r="D155" s="9" t="s">
        <v>64</v>
      </c>
      <c r="E155" s="4">
        <v>8.0</v>
      </c>
    </row>
    <row r="156" ht="15.75" customHeight="1">
      <c r="A156" s="4" t="s">
        <v>31</v>
      </c>
      <c r="C156" s="4" t="s">
        <v>44</v>
      </c>
      <c r="D156" s="4" t="s">
        <v>65</v>
      </c>
      <c r="E156" s="4">
        <v>2.0</v>
      </c>
    </row>
    <row r="157" ht="15.75" customHeight="1">
      <c r="A157" s="4" t="s">
        <v>31</v>
      </c>
      <c r="C157" s="4" t="s">
        <v>44</v>
      </c>
      <c r="D157" s="4" t="s">
        <v>66</v>
      </c>
      <c r="E157" s="4">
        <v>2.0</v>
      </c>
    </row>
    <row r="158" ht="15.75" customHeight="1">
      <c r="A158" s="4" t="s">
        <v>31</v>
      </c>
      <c r="C158" s="4" t="s">
        <v>44</v>
      </c>
      <c r="D158" s="4" t="s">
        <v>67</v>
      </c>
      <c r="E158" s="4">
        <v>2.0</v>
      </c>
    </row>
    <row r="159" ht="15.75" customHeight="1">
      <c r="A159" s="4" t="s">
        <v>31</v>
      </c>
      <c r="C159" s="4" t="s">
        <v>44</v>
      </c>
      <c r="D159" s="4" t="s">
        <v>68</v>
      </c>
      <c r="E159" s="4">
        <v>1.2</v>
      </c>
    </row>
    <row r="160" ht="15.75" customHeight="1">
      <c r="A160" s="4" t="s">
        <v>31</v>
      </c>
      <c r="C160" s="4" t="s">
        <v>44</v>
      </c>
      <c r="D160" s="4" t="s">
        <v>69</v>
      </c>
      <c r="E160" s="4">
        <v>0.8</v>
      </c>
    </row>
    <row r="161" ht="15.75" customHeight="1">
      <c r="A161" s="4" t="s">
        <v>31</v>
      </c>
      <c r="B161" s="4">
        <v>7.0</v>
      </c>
      <c r="C161" s="4" t="s">
        <v>47</v>
      </c>
      <c r="D161" s="9" t="s">
        <v>70</v>
      </c>
      <c r="E161" s="4">
        <v>7.0</v>
      </c>
    </row>
    <row r="162" ht="15.75" customHeight="1">
      <c r="A162" s="4" t="s">
        <v>31</v>
      </c>
      <c r="C162" s="4" t="s">
        <v>44</v>
      </c>
      <c r="D162" s="4" t="s">
        <v>71</v>
      </c>
      <c r="E162" s="4">
        <v>5.0</v>
      </c>
    </row>
    <row r="163" ht="15.75" customHeight="1">
      <c r="A163" s="4" t="s">
        <v>31</v>
      </c>
      <c r="C163" s="4" t="s">
        <v>44</v>
      </c>
      <c r="D163" s="4" t="s">
        <v>72</v>
      </c>
      <c r="E163" s="4">
        <v>2.0</v>
      </c>
    </row>
    <row r="164" ht="15.75" customHeight="1">
      <c r="A164" s="4" t="s">
        <v>31</v>
      </c>
      <c r="B164" s="4">
        <v>8.0</v>
      </c>
      <c r="C164" s="4" t="s">
        <v>47</v>
      </c>
      <c r="D164" s="9" t="s">
        <v>73</v>
      </c>
      <c r="E164" s="4">
        <v>8.0</v>
      </c>
    </row>
    <row r="165" ht="15.75" customHeight="1">
      <c r="A165" s="4" t="s">
        <v>31</v>
      </c>
      <c r="C165" s="4" t="s">
        <v>44</v>
      </c>
      <c r="D165" s="4" t="s">
        <v>74</v>
      </c>
      <c r="E165" s="4">
        <v>6.0</v>
      </c>
    </row>
    <row r="166" ht="15.75" customHeight="1">
      <c r="A166" s="4" t="s">
        <v>31</v>
      </c>
      <c r="C166" s="4" t="s">
        <v>44</v>
      </c>
      <c r="D166" s="4" t="s">
        <v>75</v>
      </c>
      <c r="E166" s="4">
        <v>2.0</v>
      </c>
    </row>
    <row r="167" ht="15.75" customHeight="1">
      <c r="A167" s="4" t="s">
        <v>31</v>
      </c>
      <c r="B167" s="4">
        <v>9.0</v>
      </c>
      <c r="C167" s="4" t="s">
        <v>47</v>
      </c>
      <c r="D167" s="9" t="s">
        <v>76</v>
      </c>
      <c r="E167" s="4">
        <v>6.0</v>
      </c>
    </row>
    <row r="168" ht="15.75" customHeight="1">
      <c r="A168" s="4" t="s">
        <v>31</v>
      </c>
      <c r="C168" s="4" t="s">
        <v>44</v>
      </c>
      <c r="D168" s="4" t="s">
        <v>77</v>
      </c>
      <c r="E168" s="4">
        <v>2.0</v>
      </c>
    </row>
    <row r="169" ht="15.75" customHeight="1">
      <c r="A169" s="4" t="s">
        <v>31</v>
      </c>
      <c r="C169" s="4" t="s">
        <v>44</v>
      </c>
      <c r="D169" s="4" t="s">
        <v>78</v>
      </c>
      <c r="E169" s="4">
        <v>2.0</v>
      </c>
    </row>
    <row r="170" ht="15.75" customHeight="1">
      <c r="A170" s="4" t="s">
        <v>31</v>
      </c>
      <c r="C170" s="4" t="s">
        <v>44</v>
      </c>
      <c r="D170" s="4" t="s">
        <v>79</v>
      </c>
      <c r="E170" s="4">
        <v>2.0</v>
      </c>
    </row>
    <row r="171" ht="15.75" customHeight="1">
      <c r="A171" s="4" t="s">
        <v>31</v>
      </c>
      <c r="B171" s="4">
        <v>10.0</v>
      </c>
      <c r="C171" s="4" t="s">
        <v>47</v>
      </c>
      <c r="D171" s="9" t="s">
        <v>80</v>
      </c>
      <c r="E171" s="4">
        <v>7.0</v>
      </c>
    </row>
    <row r="172" ht="15.75" customHeight="1">
      <c r="A172" s="4" t="s">
        <v>31</v>
      </c>
      <c r="C172" s="4" t="s">
        <v>44</v>
      </c>
      <c r="D172" s="4" t="s">
        <v>81</v>
      </c>
      <c r="E172" s="4">
        <v>3.0</v>
      </c>
    </row>
    <row r="173" ht="15.75" customHeight="1">
      <c r="A173" s="4" t="s">
        <v>31</v>
      </c>
      <c r="C173" s="4" t="s">
        <v>44</v>
      </c>
      <c r="D173" s="4" t="s">
        <v>82</v>
      </c>
      <c r="E173" s="4">
        <v>2.0</v>
      </c>
    </row>
    <row r="174" ht="15.75" customHeight="1">
      <c r="A174" s="4" t="s">
        <v>31</v>
      </c>
      <c r="C174" s="4" t="s">
        <v>44</v>
      </c>
      <c r="D174" s="4" t="s">
        <v>83</v>
      </c>
      <c r="E174" s="4">
        <v>2.0</v>
      </c>
    </row>
    <row r="175" ht="15.75" customHeight="1">
      <c r="A175" s="4" t="s">
        <v>31</v>
      </c>
      <c r="B175" s="11">
        <v>11.0</v>
      </c>
      <c r="C175" s="4" t="s">
        <v>47</v>
      </c>
      <c r="D175" s="9" t="s">
        <v>84</v>
      </c>
      <c r="E175" s="11">
        <v>4.0</v>
      </c>
    </row>
    <row r="176" ht="15.75" customHeight="1">
      <c r="A176" s="4" t="s">
        <v>31</v>
      </c>
      <c r="C176" s="4" t="b">
        <v>0</v>
      </c>
      <c r="D176" s="11" t="s">
        <v>85</v>
      </c>
      <c r="E176" s="11">
        <v>2.0</v>
      </c>
    </row>
    <row r="177" ht="15.75" customHeight="1">
      <c r="A177" s="4" t="s">
        <v>31</v>
      </c>
      <c r="C177" s="4" t="s">
        <v>44</v>
      </c>
      <c r="D177" s="11" t="s">
        <v>86</v>
      </c>
      <c r="E177" s="11">
        <v>2.0</v>
      </c>
    </row>
    <row r="178" ht="15.75" customHeight="1">
      <c r="A178" s="4" t="s">
        <v>31</v>
      </c>
      <c r="B178" s="11">
        <v>12.0</v>
      </c>
      <c r="C178" s="4" t="s">
        <v>47</v>
      </c>
      <c r="D178" s="9" t="s">
        <v>87</v>
      </c>
    </row>
    <row r="179" ht="15.75" customHeight="1">
      <c r="A179" s="4" t="s">
        <v>31</v>
      </c>
      <c r="C179" s="4" t="s">
        <v>44</v>
      </c>
      <c r="D179" s="11" t="s">
        <v>88</v>
      </c>
    </row>
    <row r="180" ht="15.75" customHeight="1">
      <c r="A180" s="4" t="s">
        <v>31</v>
      </c>
      <c r="C180" s="4" t="s">
        <v>44</v>
      </c>
      <c r="D180" s="11" t="s">
        <v>89</v>
      </c>
    </row>
    <row r="181" ht="15.75" customHeight="1">
      <c r="A181" s="4" t="s">
        <v>31</v>
      </c>
      <c r="C181" s="4" t="s">
        <v>44</v>
      </c>
      <c r="D181" s="11" t="s">
        <v>90</v>
      </c>
    </row>
    <row r="182" ht="15.75" customHeight="1">
      <c r="A182" s="4" t="s">
        <v>32</v>
      </c>
      <c r="B182" s="4">
        <v>1.0</v>
      </c>
      <c r="C182" s="4" t="s">
        <v>44</v>
      </c>
      <c r="D182" s="4" t="s">
        <v>45</v>
      </c>
      <c r="E182" s="4">
        <v>14.0</v>
      </c>
    </row>
    <row r="183" ht="15.75" customHeight="1">
      <c r="A183" s="4" t="s">
        <v>32</v>
      </c>
      <c r="B183" s="4">
        <v>2.0</v>
      </c>
      <c r="C183" s="4" t="s">
        <v>44</v>
      </c>
      <c r="D183" s="4" t="s">
        <v>46</v>
      </c>
      <c r="E183" s="4">
        <v>12.0</v>
      </c>
    </row>
    <row r="184" ht="15.75" customHeight="1">
      <c r="A184" s="4" t="s">
        <v>32</v>
      </c>
      <c r="B184" s="4">
        <v>3.0</v>
      </c>
      <c r="C184" s="4" t="s">
        <v>47</v>
      </c>
      <c r="D184" s="9" t="s">
        <v>48</v>
      </c>
      <c r="E184" s="4">
        <v>14.0</v>
      </c>
    </row>
    <row r="185" ht="15.75" customHeight="1">
      <c r="A185" s="4" t="s">
        <v>32</v>
      </c>
      <c r="C185" s="4" t="s">
        <v>44</v>
      </c>
      <c r="D185" s="4" t="s">
        <v>49</v>
      </c>
      <c r="E185" s="4">
        <v>6.0</v>
      </c>
    </row>
    <row r="186" ht="15.75" customHeight="1">
      <c r="A186" s="4" t="s">
        <v>32</v>
      </c>
      <c r="C186" s="4" t="s">
        <v>44</v>
      </c>
      <c r="D186" s="4" t="s">
        <v>50</v>
      </c>
      <c r="E186" s="4">
        <v>6.0</v>
      </c>
    </row>
    <row r="187" ht="15.75" customHeight="1">
      <c r="A187" s="4" t="s">
        <v>32</v>
      </c>
      <c r="C187" s="4" t="s">
        <v>44</v>
      </c>
      <c r="D187" s="4" t="s">
        <v>51</v>
      </c>
      <c r="E187" s="4">
        <v>2.0</v>
      </c>
    </row>
    <row r="188" ht="15.75" customHeight="1">
      <c r="A188" s="4" t="s">
        <v>32</v>
      </c>
      <c r="B188" s="4">
        <v>4.0</v>
      </c>
      <c r="C188" s="4" t="s">
        <v>47</v>
      </c>
      <c r="D188" s="9" t="s">
        <v>52</v>
      </c>
      <c r="E188" s="4">
        <v>10.0</v>
      </c>
    </row>
    <row r="189" ht="15.75" customHeight="1">
      <c r="A189" s="4" t="s">
        <v>32</v>
      </c>
      <c r="C189" s="4" t="s">
        <v>44</v>
      </c>
      <c r="D189" s="4" t="s">
        <v>53</v>
      </c>
      <c r="E189" s="4">
        <v>5.0</v>
      </c>
    </row>
    <row r="190" ht="15.75" customHeight="1">
      <c r="A190" s="4" t="s">
        <v>32</v>
      </c>
      <c r="C190" s="4" t="s">
        <v>44</v>
      </c>
      <c r="D190" s="4" t="s">
        <v>54</v>
      </c>
    </row>
    <row r="191" ht="15.75" customHeight="1">
      <c r="A191" s="4" t="s">
        <v>32</v>
      </c>
      <c r="C191" s="4" t="s">
        <v>44</v>
      </c>
      <c r="D191" s="4" t="s">
        <v>55</v>
      </c>
    </row>
    <row r="192" ht="15.75" customHeight="1">
      <c r="A192" s="4" t="s">
        <v>32</v>
      </c>
      <c r="C192" s="4" t="s">
        <v>44</v>
      </c>
      <c r="D192" s="4" t="s">
        <v>56</v>
      </c>
    </row>
    <row r="193" ht="15.75" customHeight="1">
      <c r="A193" s="4" t="s">
        <v>32</v>
      </c>
      <c r="C193" s="4" t="s">
        <v>44</v>
      </c>
      <c r="D193" s="4" t="s">
        <v>57</v>
      </c>
      <c r="E193" s="4">
        <v>5.0</v>
      </c>
    </row>
    <row r="194" ht="15.75" customHeight="1">
      <c r="A194" s="4" t="s">
        <v>32</v>
      </c>
      <c r="B194" s="4">
        <v>5.0</v>
      </c>
      <c r="C194" s="4" t="s">
        <v>47</v>
      </c>
      <c r="D194" s="9" t="s">
        <v>58</v>
      </c>
      <c r="E194" s="4">
        <v>10.0</v>
      </c>
    </row>
    <row r="195" ht="15.75" customHeight="1">
      <c r="A195" s="4" t="s">
        <v>32</v>
      </c>
      <c r="C195" s="4" t="s">
        <v>44</v>
      </c>
      <c r="D195" s="4" t="s">
        <v>59</v>
      </c>
      <c r="E195" s="4">
        <v>0.5</v>
      </c>
    </row>
    <row r="196" ht="15.75" customHeight="1">
      <c r="A196" s="4" t="s">
        <v>32</v>
      </c>
      <c r="C196" s="4" t="s">
        <v>44</v>
      </c>
      <c r="D196" s="4" t="s">
        <v>60</v>
      </c>
      <c r="E196" s="4">
        <v>1.5</v>
      </c>
    </row>
    <row r="197" ht="15.75" customHeight="1">
      <c r="A197" s="4" t="s">
        <v>32</v>
      </c>
      <c r="C197" s="4" t="s">
        <v>44</v>
      </c>
      <c r="D197" s="4" t="s">
        <v>61</v>
      </c>
      <c r="E197" s="4">
        <v>2.0</v>
      </c>
    </row>
    <row r="198" ht="15.75" customHeight="1">
      <c r="A198" s="4" t="s">
        <v>32</v>
      </c>
      <c r="C198" s="4" t="s">
        <v>44</v>
      </c>
      <c r="D198" s="4" t="s">
        <v>62</v>
      </c>
      <c r="E198" s="4">
        <v>4.0</v>
      </c>
    </row>
    <row r="199" ht="15.75" customHeight="1">
      <c r="A199" s="4" t="s">
        <v>32</v>
      </c>
      <c r="C199" s="4" t="s">
        <v>44</v>
      </c>
      <c r="D199" s="4" t="s">
        <v>63</v>
      </c>
      <c r="E199" s="4">
        <v>2.0</v>
      </c>
    </row>
    <row r="200" ht="15.75" customHeight="1">
      <c r="A200" s="4" t="s">
        <v>32</v>
      </c>
      <c r="B200" s="4">
        <v>6.0</v>
      </c>
      <c r="C200" s="4" t="s">
        <v>47</v>
      </c>
      <c r="D200" s="9" t="s">
        <v>64</v>
      </c>
      <c r="E200" s="4">
        <v>8.0</v>
      </c>
    </row>
    <row r="201" ht="15.75" customHeight="1">
      <c r="A201" s="4" t="s">
        <v>32</v>
      </c>
      <c r="C201" s="4" t="s">
        <v>44</v>
      </c>
      <c r="D201" s="4" t="s">
        <v>65</v>
      </c>
      <c r="E201" s="4">
        <v>2.0</v>
      </c>
    </row>
    <row r="202" ht="15.75" customHeight="1">
      <c r="A202" s="4" t="s">
        <v>32</v>
      </c>
      <c r="C202" s="4" t="s">
        <v>44</v>
      </c>
      <c r="D202" s="4" t="s">
        <v>66</v>
      </c>
      <c r="E202" s="4">
        <v>2.0</v>
      </c>
    </row>
    <row r="203" ht="15.75" customHeight="1">
      <c r="A203" s="4" t="s">
        <v>32</v>
      </c>
      <c r="C203" s="4" t="s">
        <v>44</v>
      </c>
      <c r="D203" s="4" t="s">
        <v>67</v>
      </c>
      <c r="E203" s="4">
        <v>2.0</v>
      </c>
    </row>
    <row r="204" ht="15.75" customHeight="1">
      <c r="A204" s="4" t="s">
        <v>32</v>
      </c>
      <c r="C204" s="4" t="s">
        <v>44</v>
      </c>
      <c r="D204" s="4" t="s">
        <v>68</v>
      </c>
      <c r="E204" s="4">
        <v>1.2</v>
      </c>
    </row>
    <row r="205" ht="15.75" customHeight="1">
      <c r="A205" s="4" t="s">
        <v>32</v>
      </c>
      <c r="C205" s="4" t="s">
        <v>44</v>
      </c>
      <c r="D205" s="4" t="s">
        <v>69</v>
      </c>
      <c r="E205" s="4">
        <v>0.8</v>
      </c>
    </row>
    <row r="206" ht="15.75" customHeight="1">
      <c r="A206" s="4" t="s">
        <v>32</v>
      </c>
      <c r="B206" s="4">
        <v>7.0</v>
      </c>
      <c r="C206" s="4" t="s">
        <v>47</v>
      </c>
      <c r="D206" s="9" t="s">
        <v>70</v>
      </c>
      <c r="E206" s="4">
        <v>7.0</v>
      </c>
    </row>
    <row r="207" ht="15.75" customHeight="1">
      <c r="A207" s="4" t="s">
        <v>32</v>
      </c>
      <c r="C207" s="4" t="s">
        <v>44</v>
      </c>
      <c r="D207" s="4" t="s">
        <v>71</v>
      </c>
      <c r="E207" s="4">
        <v>5.0</v>
      </c>
    </row>
    <row r="208" ht="15.75" customHeight="1">
      <c r="A208" s="4" t="s">
        <v>32</v>
      </c>
      <c r="C208" s="4" t="s">
        <v>44</v>
      </c>
      <c r="D208" s="4" t="s">
        <v>72</v>
      </c>
      <c r="E208" s="4">
        <v>2.0</v>
      </c>
    </row>
    <row r="209" ht="15.75" customHeight="1">
      <c r="A209" s="4" t="s">
        <v>32</v>
      </c>
      <c r="B209" s="4">
        <v>8.0</v>
      </c>
      <c r="C209" s="4" t="s">
        <v>47</v>
      </c>
      <c r="D209" s="9" t="s">
        <v>73</v>
      </c>
      <c r="E209" s="4">
        <v>8.0</v>
      </c>
    </row>
    <row r="210" ht="15.75" customHeight="1">
      <c r="A210" s="4" t="s">
        <v>32</v>
      </c>
      <c r="C210" s="4" t="s">
        <v>44</v>
      </c>
      <c r="D210" s="4" t="s">
        <v>74</v>
      </c>
      <c r="E210" s="4">
        <v>6.0</v>
      </c>
    </row>
    <row r="211" ht="15.75" customHeight="1">
      <c r="A211" s="4" t="s">
        <v>32</v>
      </c>
      <c r="C211" s="4" t="s">
        <v>44</v>
      </c>
      <c r="D211" s="4" t="s">
        <v>75</v>
      </c>
      <c r="E211" s="4">
        <v>2.0</v>
      </c>
    </row>
    <row r="212" ht="15.75" customHeight="1">
      <c r="A212" s="4" t="s">
        <v>32</v>
      </c>
      <c r="B212" s="4">
        <v>9.0</v>
      </c>
      <c r="C212" s="4" t="s">
        <v>47</v>
      </c>
      <c r="D212" s="9" t="s">
        <v>76</v>
      </c>
      <c r="E212" s="4">
        <v>6.0</v>
      </c>
    </row>
    <row r="213" ht="15.75" customHeight="1">
      <c r="A213" s="4" t="s">
        <v>32</v>
      </c>
      <c r="C213" s="4" t="s">
        <v>44</v>
      </c>
      <c r="D213" s="4" t="s">
        <v>77</v>
      </c>
      <c r="E213" s="4">
        <v>2.0</v>
      </c>
    </row>
    <row r="214" ht="15.75" customHeight="1">
      <c r="A214" s="4" t="s">
        <v>32</v>
      </c>
      <c r="C214" s="4" t="s">
        <v>44</v>
      </c>
      <c r="D214" s="4" t="s">
        <v>78</v>
      </c>
      <c r="E214" s="4">
        <v>2.0</v>
      </c>
    </row>
    <row r="215" ht="15.75" customHeight="1">
      <c r="A215" s="4" t="s">
        <v>32</v>
      </c>
      <c r="C215" s="4" t="s">
        <v>44</v>
      </c>
      <c r="D215" s="4" t="s">
        <v>79</v>
      </c>
      <c r="E215" s="4">
        <v>2.0</v>
      </c>
    </row>
    <row r="216" ht="15.75" customHeight="1">
      <c r="A216" s="4" t="s">
        <v>32</v>
      </c>
      <c r="B216" s="4">
        <v>10.0</v>
      </c>
      <c r="C216" s="4" t="s">
        <v>47</v>
      </c>
      <c r="D216" s="9" t="s">
        <v>80</v>
      </c>
      <c r="E216" s="4">
        <v>7.0</v>
      </c>
    </row>
    <row r="217" ht="15.75" customHeight="1">
      <c r="A217" s="4" t="s">
        <v>32</v>
      </c>
      <c r="C217" s="4" t="s">
        <v>44</v>
      </c>
      <c r="D217" s="4" t="s">
        <v>81</v>
      </c>
      <c r="E217" s="4">
        <v>3.0</v>
      </c>
    </row>
    <row r="218" ht="15.75" customHeight="1">
      <c r="A218" s="4" t="s">
        <v>32</v>
      </c>
      <c r="C218" s="4" t="s">
        <v>44</v>
      </c>
      <c r="D218" s="4" t="s">
        <v>82</v>
      </c>
      <c r="E218" s="4">
        <v>2.0</v>
      </c>
    </row>
    <row r="219" ht="15.75" customHeight="1">
      <c r="A219" s="4" t="s">
        <v>32</v>
      </c>
      <c r="C219" s="4" t="s">
        <v>44</v>
      </c>
      <c r="D219" s="4" t="s">
        <v>83</v>
      </c>
      <c r="E219" s="4">
        <v>2.0</v>
      </c>
    </row>
    <row r="220" ht="15.75" customHeight="1">
      <c r="A220" s="4" t="s">
        <v>32</v>
      </c>
      <c r="B220" s="11">
        <v>11.0</v>
      </c>
      <c r="C220" s="4" t="s">
        <v>47</v>
      </c>
      <c r="D220" s="9" t="s">
        <v>84</v>
      </c>
      <c r="E220" s="11">
        <v>4.0</v>
      </c>
    </row>
    <row r="221" ht="15.75" customHeight="1">
      <c r="A221" s="4" t="s">
        <v>32</v>
      </c>
      <c r="C221" s="4" t="b">
        <v>0</v>
      </c>
      <c r="D221" s="11" t="s">
        <v>85</v>
      </c>
      <c r="E221" s="11">
        <v>2.0</v>
      </c>
    </row>
    <row r="222" ht="15.75" customHeight="1">
      <c r="A222" s="4" t="s">
        <v>32</v>
      </c>
      <c r="C222" s="4" t="s">
        <v>44</v>
      </c>
      <c r="D222" s="11" t="s">
        <v>86</v>
      </c>
      <c r="E222" s="11">
        <v>2.0</v>
      </c>
    </row>
    <row r="223" ht="15.75" customHeight="1">
      <c r="A223" s="4" t="s">
        <v>32</v>
      </c>
      <c r="B223" s="11">
        <v>12.0</v>
      </c>
      <c r="C223" s="4" t="s">
        <v>47</v>
      </c>
      <c r="D223" s="9" t="s">
        <v>87</v>
      </c>
    </row>
    <row r="224" ht="15.75" customHeight="1">
      <c r="A224" s="4" t="s">
        <v>32</v>
      </c>
      <c r="C224" s="4" t="s">
        <v>44</v>
      </c>
      <c r="D224" s="11" t="s">
        <v>88</v>
      </c>
    </row>
    <row r="225" ht="15.75" customHeight="1">
      <c r="A225" s="4" t="s">
        <v>32</v>
      </c>
      <c r="C225" s="4" t="s">
        <v>44</v>
      </c>
      <c r="D225" s="11" t="s">
        <v>89</v>
      </c>
    </row>
    <row r="226" ht="15.75" customHeight="1">
      <c r="A226" s="4" t="s">
        <v>32</v>
      </c>
      <c r="C226" s="4" t="s">
        <v>44</v>
      </c>
      <c r="D226" s="11" t="s">
        <v>90</v>
      </c>
    </row>
    <row r="227" ht="15.75" customHeight="1">
      <c r="A227" s="4" t="s">
        <v>33</v>
      </c>
      <c r="B227" s="4">
        <v>1.0</v>
      </c>
      <c r="C227" s="4" t="s">
        <v>44</v>
      </c>
      <c r="D227" s="4" t="s">
        <v>45</v>
      </c>
      <c r="E227" s="4">
        <v>14.0</v>
      </c>
      <c r="F227" s="4">
        <v>70.55</v>
      </c>
      <c r="G227" s="4">
        <v>86.15</v>
      </c>
      <c r="H227" s="4">
        <v>110.0</v>
      </c>
      <c r="I227" s="4">
        <v>93.74</v>
      </c>
      <c r="J227" s="4">
        <v>106.11</v>
      </c>
      <c r="K227" s="4">
        <v>85.88</v>
      </c>
      <c r="L227" s="4">
        <v>91.37</v>
      </c>
    </row>
    <row r="228" ht="15.75" customHeight="1">
      <c r="A228" s="4" t="s">
        <v>33</v>
      </c>
      <c r="B228" s="4">
        <v>2.0</v>
      </c>
      <c r="C228" s="4" t="s">
        <v>44</v>
      </c>
      <c r="D228" s="4" t="s">
        <v>46</v>
      </c>
      <c r="E228" s="4">
        <v>12.0</v>
      </c>
      <c r="F228" s="4">
        <v>110.0</v>
      </c>
      <c r="G228" s="4">
        <v>96.86</v>
      </c>
      <c r="H228" s="4">
        <v>105.5</v>
      </c>
      <c r="I228" s="4">
        <v>103.21</v>
      </c>
      <c r="J228" s="4">
        <v>94.57</v>
      </c>
      <c r="K228" s="4">
        <v>100.61</v>
      </c>
      <c r="L228" s="4">
        <v>108.05</v>
      </c>
    </row>
    <row r="229" ht="15.75" customHeight="1">
      <c r="A229" s="4" t="s">
        <v>33</v>
      </c>
      <c r="B229" s="4">
        <v>3.0</v>
      </c>
      <c r="C229" s="4" t="s">
        <v>47</v>
      </c>
      <c r="D229" s="9" t="s">
        <v>48</v>
      </c>
      <c r="E229" s="4">
        <v>14.0</v>
      </c>
    </row>
    <row r="230" ht="15.75" customHeight="1">
      <c r="A230" s="4" t="s">
        <v>33</v>
      </c>
      <c r="C230" s="4" t="s">
        <v>44</v>
      </c>
      <c r="D230" s="4" t="s">
        <v>49</v>
      </c>
      <c r="E230" s="4">
        <v>6.0</v>
      </c>
      <c r="F230" s="4">
        <v>110.0</v>
      </c>
      <c r="G230" s="4">
        <v>110.0</v>
      </c>
      <c r="H230" s="4">
        <v>110.0</v>
      </c>
      <c r="I230" s="4">
        <v>110.0</v>
      </c>
      <c r="J230" s="4">
        <v>110.0</v>
      </c>
      <c r="K230" s="4">
        <v>110.0</v>
      </c>
      <c r="L230" s="4">
        <v>110.0</v>
      </c>
    </row>
    <row r="231" ht="15.75" customHeight="1">
      <c r="A231" s="4" t="s">
        <v>33</v>
      </c>
      <c r="C231" s="4" t="s">
        <v>44</v>
      </c>
      <c r="D231" s="4" t="s">
        <v>50</v>
      </c>
      <c r="E231" s="4">
        <v>6.0</v>
      </c>
      <c r="F231" s="4">
        <v>110.0</v>
      </c>
      <c r="G231" s="4">
        <v>110.0</v>
      </c>
      <c r="H231" s="4">
        <v>110.0</v>
      </c>
      <c r="I231" s="4">
        <v>110.0</v>
      </c>
      <c r="J231" s="4">
        <v>110.0</v>
      </c>
      <c r="K231" s="4">
        <v>110.0</v>
      </c>
      <c r="L231" s="4">
        <v>110.0</v>
      </c>
    </row>
    <row r="232" ht="15.75" customHeight="1">
      <c r="A232" s="4" t="s">
        <v>33</v>
      </c>
      <c r="C232" s="4" t="s">
        <v>44</v>
      </c>
      <c r="D232" s="4" t="s">
        <v>51</v>
      </c>
      <c r="E232" s="4">
        <v>2.0</v>
      </c>
      <c r="F232" s="4">
        <v>110.0</v>
      </c>
      <c r="G232" s="4">
        <v>110.0</v>
      </c>
      <c r="H232" s="4">
        <v>110.0</v>
      </c>
      <c r="I232" s="4">
        <v>110.0</v>
      </c>
      <c r="J232" s="4">
        <v>110.0</v>
      </c>
      <c r="K232" s="4">
        <v>110.0</v>
      </c>
      <c r="L232" s="4">
        <v>110.0</v>
      </c>
    </row>
    <row r="233" ht="15.75" customHeight="1">
      <c r="A233" s="4" t="s">
        <v>33</v>
      </c>
      <c r="B233" s="4">
        <v>4.0</v>
      </c>
      <c r="C233" s="4" t="s">
        <v>47</v>
      </c>
      <c r="D233" s="9" t="s">
        <v>52</v>
      </c>
      <c r="E233" s="4">
        <v>10.0</v>
      </c>
    </row>
    <row r="234" ht="15.75" customHeight="1">
      <c r="A234" s="4" t="s">
        <v>33</v>
      </c>
      <c r="C234" s="4" t="s">
        <v>44</v>
      </c>
      <c r="D234" s="4" t="s">
        <v>53</v>
      </c>
      <c r="E234" s="4">
        <v>5.0</v>
      </c>
      <c r="F234" s="4">
        <v>110.0</v>
      </c>
      <c r="G234" s="4">
        <v>104.75</v>
      </c>
      <c r="H234" s="4">
        <v>110.0</v>
      </c>
      <c r="I234" s="4">
        <v>84.07</v>
      </c>
      <c r="J234" s="4">
        <v>94.6</v>
      </c>
      <c r="K234" s="4">
        <v>110.0</v>
      </c>
      <c r="L234" s="4">
        <v>110.0</v>
      </c>
    </row>
    <row r="235" ht="15.75" customHeight="1">
      <c r="A235" s="4" t="s">
        <v>33</v>
      </c>
      <c r="C235" s="4" t="s">
        <v>44</v>
      </c>
      <c r="D235" s="4" t="s">
        <v>54</v>
      </c>
      <c r="F235" s="4">
        <v>110.0</v>
      </c>
      <c r="G235" s="4">
        <v>94.26</v>
      </c>
      <c r="H235" s="4">
        <v>110.0</v>
      </c>
      <c r="I235" s="4">
        <v>32.21</v>
      </c>
      <c r="J235" s="4">
        <v>63.8</v>
      </c>
      <c r="K235" s="4">
        <v>110.0</v>
      </c>
      <c r="L235" s="4">
        <v>110.0</v>
      </c>
    </row>
    <row r="236" ht="15.75" customHeight="1">
      <c r="A236" s="4" t="s">
        <v>33</v>
      </c>
      <c r="C236" s="4" t="s">
        <v>44</v>
      </c>
      <c r="D236" s="4" t="s">
        <v>55</v>
      </c>
      <c r="F236" s="4">
        <v>110.0</v>
      </c>
      <c r="G236" s="4">
        <v>110.0</v>
      </c>
      <c r="H236" s="4">
        <v>110.0</v>
      </c>
      <c r="I236" s="4">
        <v>110.0</v>
      </c>
      <c r="J236" s="4">
        <v>110.0</v>
      </c>
      <c r="K236" s="4">
        <v>110.0</v>
      </c>
      <c r="L236" s="4">
        <v>110.0</v>
      </c>
    </row>
    <row r="237" ht="15.75" customHeight="1">
      <c r="A237" s="4" t="s">
        <v>33</v>
      </c>
      <c r="C237" s="4" t="s">
        <v>44</v>
      </c>
      <c r="D237" s="4" t="s">
        <v>56</v>
      </c>
      <c r="F237" s="4">
        <v>110.0</v>
      </c>
      <c r="G237" s="4">
        <v>110.0</v>
      </c>
      <c r="H237" s="4">
        <v>110.0</v>
      </c>
      <c r="I237" s="4">
        <v>110.0</v>
      </c>
      <c r="J237" s="4">
        <v>110.0</v>
      </c>
      <c r="K237" s="4">
        <v>110.0</v>
      </c>
      <c r="L237" s="4">
        <v>110.0</v>
      </c>
    </row>
    <row r="238" ht="15.75" customHeight="1">
      <c r="A238" s="4" t="s">
        <v>33</v>
      </c>
      <c r="C238" s="4" t="s">
        <v>44</v>
      </c>
      <c r="D238" s="4" t="s">
        <v>57</v>
      </c>
      <c r="E238" s="4">
        <v>5.0</v>
      </c>
      <c r="F238" s="4">
        <v>100.0</v>
      </c>
      <c r="G238" s="4">
        <v>100.0</v>
      </c>
      <c r="H238" s="4">
        <v>100.0</v>
      </c>
      <c r="I238" s="4">
        <v>100.0</v>
      </c>
      <c r="J238" s="4">
        <v>100.0</v>
      </c>
      <c r="K238" s="4">
        <v>100.0</v>
      </c>
      <c r="L238" s="4">
        <v>100.0</v>
      </c>
    </row>
    <row r="239" ht="15.75" customHeight="1">
      <c r="A239" s="4" t="s">
        <v>33</v>
      </c>
      <c r="B239" s="4">
        <v>5.0</v>
      </c>
      <c r="C239" s="4" t="s">
        <v>47</v>
      </c>
      <c r="D239" s="9" t="s">
        <v>58</v>
      </c>
      <c r="E239" s="4">
        <v>10.0</v>
      </c>
    </row>
    <row r="240" ht="15.75" customHeight="1">
      <c r="A240" s="4" t="s">
        <v>33</v>
      </c>
      <c r="C240" s="4" t="s">
        <v>44</v>
      </c>
      <c r="D240" s="4" t="s">
        <v>59</v>
      </c>
      <c r="E240" s="4">
        <v>0.5</v>
      </c>
      <c r="F240" s="4">
        <v>95.98</v>
      </c>
      <c r="G240" s="4">
        <v>99.3</v>
      </c>
      <c r="H240" s="4">
        <v>98.53</v>
      </c>
      <c r="I240" s="4">
        <v>108.15</v>
      </c>
      <c r="J240" s="4">
        <v>99.84</v>
      </c>
      <c r="K240" s="4">
        <v>101.94</v>
      </c>
      <c r="L240" s="4">
        <v>103.54</v>
      </c>
    </row>
    <row r="241" ht="15.75" customHeight="1">
      <c r="A241" s="4" t="s">
        <v>33</v>
      </c>
      <c r="C241" s="4" t="s">
        <v>44</v>
      </c>
      <c r="D241" s="4" t="s">
        <v>60</v>
      </c>
      <c r="E241" s="4">
        <v>1.5</v>
      </c>
      <c r="F241" s="4">
        <v>110.0</v>
      </c>
      <c r="G241" s="4">
        <v>110.0</v>
      </c>
      <c r="H241" s="4">
        <v>110.0</v>
      </c>
      <c r="I241" s="4">
        <v>110.0</v>
      </c>
      <c r="J241" s="4">
        <v>110.0</v>
      </c>
      <c r="K241" s="4">
        <v>110.0</v>
      </c>
      <c r="L241" s="4">
        <v>110.0</v>
      </c>
    </row>
    <row r="242" ht="15.75" customHeight="1">
      <c r="A242" s="4" t="s">
        <v>33</v>
      </c>
      <c r="C242" s="4" t="s">
        <v>44</v>
      </c>
      <c r="D242" s="4" t="s">
        <v>61</v>
      </c>
      <c r="E242" s="4">
        <v>2.0</v>
      </c>
      <c r="F242" s="4">
        <v>87.65</v>
      </c>
      <c r="G242" s="4">
        <v>79.96</v>
      </c>
      <c r="H242" s="4">
        <v>86.81</v>
      </c>
      <c r="I242" s="4">
        <v>86.9</v>
      </c>
      <c r="J242" s="4">
        <v>81.4</v>
      </c>
      <c r="K242" s="4">
        <v>72.31</v>
      </c>
      <c r="L242" s="4">
        <v>71.79</v>
      </c>
    </row>
    <row r="243" ht="15.75" customHeight="1">
      <c r="A243" s="4" t="s">
        <v>33</v>
      </c>
      <c r="C243" s="4" t="s">
        <v>44</v>
      </c>
      <c r="D243" s="4" t="s">
        <v>62</v>
      </c>
      <c r="E243" s="4">
        <v>4.0</v>
      </c>
      <c r="F243" s="4">
        <v>100.0</v>
      </c>
      <c r="G243" s="4">
        <v>110.0</v>
      </c>
      <c r="H243" s="4">
        <v>110.0</v>
      </c>
      <c r="I243" s="4">
        <v>100.0</v>
      </c>
      <c r="J243" s="4">
        <v>110.0</v>
      </c>
      <c r="K243" s="4">
        <v>100.0</v>
      </c>
      <c r="L243" s="4">
        <v>110.0</v>
      </c>
    </row>
    <row r="244" ht="15.75" customHeight="1">
      <c r="A244" s="4" t="s">
        <v>33</v>
      </c>
      <c r="C244" s="4" t="s">
        <v>44</v>
      </c>
      <c r="D244" s="4" t="s">
        <v>63</v>
      </c>
      <c r="E244" s="4">
        <v>2.0</v>
      </c>
      <c r="F244" s="4">
        <v>100.0</v>
      </c>
      <c r="G244" s="4">
        <v>110.0</v>
      </c>
      <c r="H244" s="4">
        <v>110.0</v>
      </c>
      <c r="I244" s="4">
        <v>100.0</v>
      </c>
      <c r="J244" s="4">
        <v>110.0</v>
      </c>
      <c r="K244" s="4">
        <v>100.0</v>
      </c>
      <c r="L244" s="4">
        <v>110.0</v>
      </c>
    </row>
    <row r="245" ht="15.75" customHeight="1">
      <c r="A245" s="4" t="s">
        <v>33</v>
      </c>
      <c r="B245" s="4">
        <v>6.0</v>
      </c>
      <c r="C245" s="4" t="s">
        <v>47</v>
      </c>
      <c r="D245" s="9" t="s">
        <v>64</v>
      </c>
      <c r="E245" s="4">
        <v>8.0</v>
      </c>
    </row>
    <row r="246" ht="15.75" customHeight="1">
      <c r="A246" s="4" t="s">
        <v>33</v>
      </c>
      <c r="C246" s="4" t="s">
        <v>44</v>
      </c>
      <c r="D246" s="4" t="s">
        <v>65</v>
      </c>
      <c r="E246" s="4">
        <v>2.0</v>
      </c>
      <c r="F246" s="4">
        <v>100.0</v>
      </c>
      <c r="G246" s="4">
        <v>110.0</v>
      </c>
      <c r="H246" s="4">
        <v>110.0</v>
      </c>
      <c r="I246" s="4">
        <v>100.0</v>
      </c>
      <c r="J246" s="4">
        <v>110.0</v>
      </c>
      <c r="K246" s="4">
        <v>100.0</v>
      </c>
      <c r="L246" s="4">
        <v>110.0</v>
      </c>
    </row>
    <row r="247" ht="15.75" customHeight="1">
      <c r="A247" s="4" t="s">
        <v>33</v>
      </c>
      <c r="C247" s="4" t="s">
        <v>44</v>
      </c>
      <c r="D247" s="4" t="s">
        <v>66</v>
      </c>
      <c r="E247" s="4">
        <v>2.0</v>
      </c>
      <c r="F247" s="4">
        <v>110.0</v>
      </c>
      <c r="G247" s="4">
        <v>110.0</v>
      </c>
      <c r="H247" s="4">
        <v>110.0</v>
      </c>
      <c r="I247" s="4">
        <v>110.0</v>
      </c>
      <c r="J247" s="4">
        <v>110.0</v>
      </c>
      <c r="K247" s="4">
        <v>110.0</v>
      </c>
      <c r="L247" s="4">
        <v>110.0</v>
      </c>
    </row>
    <row r="248" ht="15.75" customHeight="1">
      <c r="A248" s="4" t="s">
        <v>33</v>
      </c>
      <c r="C248" s="4" t="s">
        <v>44</v>
      </c>
      <c r="D248" s="4" t="s">
        <v>67</v>
      </c>
      <c r="E248" s="4">
        <v>2.0</v>
      </c>
      <c r="F248" s="4">
        <v>110.0</v>
      </c>
      <c r="G248" s="4">
        <v>110.0</v>
      </c>
      <c r="H248" s="4">
        <v>110.0</v>
      </c>
      <c r="I248" s="4">
        <v>110.0</v>
      </c>
      <c r="J248" s="4">
        <v>110.0</v>
      </c>
      <c r="K248" s="4">
        <v>110.0</v>
      </c>
      <c r="L248" s="4">
        <v>110.0</v>
      </c>
    </row>
    <row r="249" ht="15.75" customHeight="1">
      <c r="A249" s="4" t="s">
        <v>33</v>
      </c>
      <c r="C249" s="4" t="s">
        <v>44</v>
      </c>
      <c r="D249" s="4" t="s">
        <v>68</v>
      </c>
      <c r="E249" s="4">
        <v>1.2</v>
      </c>
      <c r="F249" s="4">
        <v>110.0</v>
      </c>
      <c r="G249" s="4">
        <v>110.0</v>
      </c>
      <c r="H249" s="4">
        <v>110.0</v>
      </c>
      <c r="I249" s="4">
        <v>110.0</v>
      </c>
      <c r="J249" s="4">
        <v>110.0</v>
      </c>
      <c r="K249" s="4">
        <v>110.0</v>
      </c>
      <c r="L249" s="4">
        <v>110.0</v>
      </c>
    </row>
    <row r="250" ht="15.75" customHeight="1">
      <c r="A250" s="4" t="s">
        <v>33</v>
      </c>
      <c r="C250" s="4" t="s">
        <v>44</v>
      </c>
      <c r="D250" s="4" t="s">
        <v>69</v>
      </c>
      <c r="E250" s="4">
        <v>0.8</v>
      </c>
      <c r="F250" s="4">
        <v>97.31</v>
      </c>
      <c r="G250" s="4">
        <v>110.0</v>
      </c>
      <c r="H250" s="4">
        <v>101.4</v>
      </c>
      <c r="I250" s="4">
        <v>110.0</v>
      </c>
      <c r="J250" s="4">
        <v>110.0</v>
      </c>
      <c r="K250" s="4">
        <v>110.0</v>
      </c>
      <c r="L250" s="4">
        <v>110.0</v>
      </c>
    </row>
    <row r="251" ht="15.75" customHeight="1">
      <c r="A251" s="4" t="s">
        <v>33</v>
      </c>
      <c r="B251" s="4">
        <v>7.0</v>
      </c>
      <c r="C251" s="4" t="s">
        <v>47</v>
      </c>
      <c r="D251" s="9" t="s">
        <v>70</v>
      </c>
      <c r="E251" s="4">
        <v>7.0</v>
      </c>
    </row>
    <row r="252" ht="15.75" customHeight="1">
      <c r="A252" s="4" t="s">
        <v>33</v>
      </c>
      <c r="C252" s="4" t="s">
        <v>44</v>
      </c>
      <c r="D252" s="4" t="s">
        <v>71</v>
      </c>
      <c r="E252" s="4">
        <v>5.0</v>
      </c>
      <c r="F252" s="4">
        <v>110.0</v>
      </c>
      <c r="G252" s="4">
        <v>110.0</v>
      </c>
      <c r="H252" s="4">
        <v>110.0</v>
      </c>
      <c r="I252" s="4">
        <v>110.0</v>
      </c>
      <c r="J252" s="4">
        <v>110.0</v>
      </c>
      <c r="K252" s="4">
        <v>110.0</v>
      </c>
      <c r="L252" s="4">
        <v>110.0</v>
      </c>
    </row>
    <row r="253" ht="15.75" customHeight="1">
      <c r="A253" s="4" t="s">
        <v>33</v>
      </c>
      <c r="C253" s="4" t="s">
        <v>44</v>
      </c>
      <c r="D253" s="4" t="s">
        <v>72</v>
      </c>
      <c r="E253" s="4">
        <v>2.0</v>
      </c>
      <c r="F253" s="4">
        <v>100.0</v>
      </c>
      <c r="G253" s="4">
        <v>110.0</v>
      </c>
      <c r="H253" s="4">
        <v>110.0</v>
      </c>
      <c r="I253" s="4">
        <v>110.0</v>
      </c>
      <c r="J253" s="4">
        <v>100.0</v>
      </c>
      <c r="K253" s="4">
        <v>110.0</v>
      </c>
      <c r="L253" s="4">
        <v>100.0</v>
      </c>
    </row>
    <row r="254" ht="15.75" customHeight="1">
      <c r="A254" s="4" t="s">
        <v>33</v>
      </c>
      <c r="B254" s="4">
        <v>8.0</v>
      </c>
      <c r="C254" s="4" t="s">
        <v>47</v>
      </c>
      <c r="D254" s="9" t="s">
        <v>73</v>
      </c>
      <c r="E254" s="4">
        <v>8.0</v>
      </c>
    </row>
    <row r="255" ht="15.75" customHeight="1">
      <c r="A255" s="4" t="s">
        <v>33</v>
      </c>
      <c r="C255" s="4" t="s">
        <v>44</v>
      </c>
      <c r="D255" s="4" t="s">
        <v>74</v>
      </c>
      <c r="E255" s="4">
        <v>6.0</v>
      </c>
      <c r="F255" s="4">
        <v>110.0</v>
      </c>
      <c r="G255" s="4">
        <v>110.0</v>
      </c>
      <c r="H255" s="4">
        <v>110.0</v>
      </c>
      <c r="I255" s="4">
        <v>110.0</v>
      </c>
      <c r="J255" s="4">
        <v>110.0</v>
      </c>
      <c r="K255" s="4">
        <v>110.0</v>
      </c>
      <c r="L255" s="4">
        <v>110.0</v>
      </c>
    </row>
    <row r="256" ht="15.75" customHeight="1">
      <c r="A256" s="4" t="s">
        <v>33</v>
      </c>
      <c r="C256" s="4" t="s">
        <v>44</v>
      </c>
      <c r="D256" s="4" t="s">
        <v>75</v>
      </c>
      <c r="E256" s="4">
        <v>2.0</v>
      </c>
      <c r="F256" s="4">
        <v>110.0</v>
      </c>
      <c r="G256" s="4">
        <v>110.0</v>
      </c>
      <c r="H256" s="4">
        <v>110.0</v>
      </c>
      <c r="I256" s="4">
        <v>110.0</v>
      </c>
      <c r="J256" s="4">
        <v>110.0</v>
      </c>
      <c r="K256" s="4">
        <v>110.0</v>
      </c>
      <c r="L256" s="4">
        <v>110.0</v>
      </c>
    </row>
    <row r="257" ht="15.75" customHeight="1">
      <c r="A257" s="4" t="s">
        <v>33</v>
      </c>
      <c r="B257" s="4">
        <v>9.0</v>
      </c>
      <c r="C257" s="4" t="s">
        <v>47</v>
      </c>
      <c r="D257" s="9" t="s">
        <v>76</v>
      </c>
      <c r="E257" s="4">
        <v>6.0</v>
      </c>
    </row>
    <row r="258" ht="15.75" customHeight="1">
      <c r="A258" s="4" t="s">
        <v>33</v>
      </c>
      <c r="C258" s="4" t="s">
        <v>44</v>
      </c>
      <c r="D258" s="4" t="s">
        <v>77</v>
      </c>
      <c r="E258" s="4">
        <v>2.0</v>
      </c>
      <c r="F258" s="4">
        <v>110.0</v>
      </c>
      <c r="G258" s="4">
        <v>110.0</v>
      </c>
      <c r="H258" s="4">
        <v>110.0</v>
      </c>
      <c r="I258" s="4">
        <v>110.0</v>
      </c>
      <c r="J258" s="4">
        <v>110.0</v>
      </c>
      <c r="K258" s="4">
        <v>110.0</v>
      </c>
      <c r="L258" s="4">
        <v>110.0</v>
      </c>
    </row>
    <row r="259" ht="15.75" customHeight="1">
      <c r="A259" s="4" t="s">
        <v>33</v>
      </c>
      <c r="C259" s="4" t="s">
        <v>44</v>
      </c>
      <c r="D259" s="4" t="s">
        <v>78</v>
      </c>
      <c r="E259" s="4">
        <v>2.0</v>
      </c>
      <c r="F259" s="4">
        <v>110.0</v>
      </c>
      <c r="G259" s="4">
        <v>110.0</v>
      </c>
      <c r="H259" s="4">
        <v>110.0</v>
      </c>
      <c r="I259" s="4">
        <v>110.0</v>
      </c>
      <c r="J259" s="4">
        <v>110.0</v>
      </c>
      <c r="K259" s="4">
        <v>110.0</v>
      </c>
      <c r="L259" s="4">
        <v>110.0</v>
      </c>
    </row>
    <row r="260" ht="15.75" customHeight="1">
      <c r="A260" s="4" t="s">
        <v>33</v>
      </c>
      <c r="C260" s="4" t="s">
        <v>44</v>
      </c>
      <c r="D260" s="4" t="s">
        <v>79</v>
      </c>
      <c r="E260" s="4">
        <v>2.0</v>
      </c>
      <c r="F260" s="4">
        <v>100.0</v>
      </c>
      <c r="G260" s="4">
        <v>100.0</v>
      </c>
      <c r="H260" s="4">
        <v>100.0</v>
      </c>
      <c r="I260" s="4">
        <v>100.0</v>
      </c>
      <c r="J260" s="4">
        <v>100.0</v>
      </c>
      <c r="K260" s="4">
        <v>100.0</v>
      </c>
      <c r="L260" s="4">
        <v>100.0</v>
      </c>
    </row>
    <row r="261" ht="15.75" customHeight="1">
      <c r="A261" s="4" t="s">
        <v>33</v>
      </c>
      <c r="B261" s="4">
        <v>10.0</v>
      </c>
      <c r="C261" s="4" t="s">
        <v>47</v>
      </c>
      <c r="D261" s="9" t="s">
        <v>80</v>
      </c>
      <c r="E261" s="4">
        <v>7.0</v>
      </c>
    </row>
    <row r="262" ht="15.75" customHeight="1">
      <c r="A262" s="4" t="s">
        <v>33</v>
      </c>
      <c r="C262" s="4" t="s">
        <v>44</v>
      </c>
      <c r="D262" s="4" t="s">
        <v>81</v>
      </c>
      <c r="E262" s="4">
        <v>3.0</v>
      </c>
      <c r="F262" s="4">
        <v>95.43</v>
      </c>
      <c r="G262" s="4">
        <v>60.25</v>
      </c>
      <c r="H262" s="4">
        <v>109.83</v>
      </c>
      <c r="I262" s="4">
        <v>59.41</v>
      </c>
      <c r="J262" s="4">
        <v>110.0</v>
      </c>
      <c r="K262" s="4">
        <v>47.3</v>
      </c>
      <c r="L262" s="4">
        <v>110.0</v>
      </c>
    </row>
    <row r="263" ht="15.75" customHeight="1">
      <c r="A263" s="4" t="s">
        <v>33</v>
      </c>
      <c r="C263" s="4" t="s">
        <v>44</v>
      </c>
      <c r="D263" s="4" t="s">
        <v>82</v>
      </c>
      <c r="E263" s="4">
        <v>2.0</v>
      </c>
      <c r="F263" s="4">
        <v>110.0</v>
      </c>
      <c r="G263" s="4">
        <v>110.0</v>
      </c>
      <c r="H263" s="4">
        <v>110.0</v>
      </c>
      <c r="I263" s="4">
        <v>110.0</v>
      </c>
      <c r="J263" s="4">
        <v>110.0</v>
      </c>
      <c r="K263" s="4">
        <v>110.0</v>
      </c>
      <c r="L263" s="4">
        <v>110.0</v>
      </c>
    </row>
    <row r="264" ht="15.75" customHeight="1">
      <c r="A264" s="4" t="s">
        <v>33</v>
      </c>
      <c r="C264" s="4" t="s">
        <v>44</v>
      </c>
      <c r="D264" s="4" t="s">
        <v>83</v>
      </c>
      <c r="E264" s="4">
        <v>2.0</v>
      </c>
      <c r="F264" s="4">
        <v>100.0</v>
      </c>
      <c r="G264" s="4">
        <v>100.0</v>
      </c>
      <c r="H264" s="4">
        <v>100.0</v>
      </c>
      <c r="I264" s="4">
        <v>100.0</v>
      </c>
      <c r="J264" s="4">
        <v>100.0</v>
      </c>
      <c r="K264" s="4">
        <v>100.0</v>
      </c>
      <c r="L264" s="4">
        <v>100.0</v>
      </c>
    </row>
    <row r="265" ht="15.75" customHeight="1">
      <c r="A265" s="4" t="s">
        <v>33</v>
      </c>
      <c r="B265" s="11">
        <v>11.0</v>
      </c>
      <c r="C265" s="4" t="s">
        <v>47</v>
      </c>
      <c r="D265" s="9" t="s">
        <v>84</v>
      </c>
      <c r="E265" s="11">
        <v>4.0</v>
      </c>
    </row>
    <row r="266" ht="15.75" customHeight="1">
      <c r="A266" s="4" t="s">
        <v>33</v>
      </c>
      <c r="C266" s="4" t="b">
        <v>0</v>
      </c>
      <c r="D266" s="11" t="s">
        <v>85</v>
      </c>
      <c r="E266" s="11">
        <v>2.0</v>
      </c>
    </row>
    <row r="267" ht="15.75" customHeight="1">
      <c r="A267" s="4" t="s">
        <v>33</v>
      </c>
      <c r="C267" s="4" t="s">
        <v>44</v>
      </c>
      <c r="D267" s="11" t="s">
        <v>86</v>
      </c>
      <c r="E267" s="11">
        <v>2.0</v>
      </c>
    </row>
    <row r="268" ht="15.75" customHeight="1">
      <c r="A268" s="4" t="s">
        <v>33</v>
      </c>
      <c r="B268" s="11">
        <v>12.0</v>
      </c>
      <c r="C268" s="4" t="s">
        <v>47</v>
      </c>
      <c r="D268" s="9" t="s">
        <v>87</v>
      </c>
    </row>
    <row r="269" ht="15.75" customHeight="1">
      <c r="A269" s="4" t="s">
        <v>33</v>
      </c>
      <c r="C269" s="4" t="s">
        <v>44</v>
      </c>
      <c r="D269" s="11" t="s">
        <v>88</v>
      </c>
    </row>
    <row r="270" ht="15.75" customHeight="1">
      <c r="A270" s="4" t="s">
        <v>33</v>
      </c>
      <c r="C270" s="4" t="s">
        <v>44</v>
      </c>
      <c r="D270" s="11" t="s">
        <v>89</v>
      </c>
    </row>
    <row r="271" ht="15.75" customHeight="1">
      <c r="A271" s="4" t="s">
        <v>33</v>
      </c>
      <c r="C271" s="4" t="s">
        <v>44</v>
      </c>
      <c r="D271" s="11" t="s">
        <v>90</v>
      </c>
    </row>
    <row r="272" ht="15.75" customHeight="1">
      <c r="A272" s="4" t="s">
        <v>34</v>
      </c>
      <c r="B272" s="4">
        <v>1.0</v>
      </c>
      <c r="C272" s="4" t="s">
        <v>44</v>
      </c>
      <c r="D272" s="4" t="s">
        <v>45</v>
      </c>
      <c r="E272" s="4">
        <v>14.0</v>
      </c>
    </row>
    <row r="273" ht="15.75" customHeight="1">
      <c r="A273" s="4" t="s">
        <v>34</v>
      </c>
      <c r="B273" s="4">
        <v>2.0</v>
      </c>
      <c r="C273" s="4" t="s">
        <v>44</v>
      </c>
      <c r="D273" s="4" t="s">
        <v>46</v>
      </c>
      <c r="E273" s="4">
        <v>12.0</v>
      </c>
    </row>
    <row r="274" ht="15.75" customHeight="1">
      <c r="A274" s="4" t="s">
        <v>34</v>
      </c>
      <c r="B274" s="4">
        <v>3.0</v>
      </c>
      <c r="C274" s="4" t="s">
        <v>47</v>
      </c>
      <c r="D274" s="9" t="s">
        <v>48</v>
      </c>
      <c r="E274" s="4">
        <v>14.0</v>
      </c>
    </row>
    <row r="275" ht="15.75" customHeight="1">
      <c r="A275" s="4" t="s">
        <v>34</v>
      </c>
      <c r="C275" s="4" t="s">
        <v>44</v>
      </c>
      <c r="D275" s="4" t="s">
        <v>49</v>
      </c>
      <c r="E275" s="4">
        <v>6.0</v>
      </c>
    </row>
    <row r="276" ht="15.75" customHeight="1">
      <c r="A276" s="4" t="s">
        <v>34</v>
      </c>
      <c r="C276" s="4" t="s">
        <v>44</v>
      </c>
      <c r="D276" s="4" t="s">
        <v>50</v>
      </c>
      <c r="E276" s="4">
        <v>6.0</v>
      </c>
    </row>
    <row r="277" ht="15.75" customHeight="1">
      <c r="A277" s="4" t="s">
        <v>34</v>
      </c>
      <c r="C277" s="4" t="s">
        <v>44</v>
      </c>
      <c r="D277" s="4" t="s">
        <v>51</v>
      </c>
      <c r="E277" s="4">
        <v>2.0</v>
      </c>
    </row>
    <row r="278" ht="15.75" customHeight="1">
      <c r="A278" s="4" t="s">
        <v>34</v>
      </c>
      <c r="B278" s="4">
        <v>4.0</v>
      </c>
      <c r="C278" s="4" t="s">
        <v>47</v>
      </c>
      <c r="D278" s="9" t="s">
        <v>52</v>
      </c>
      <c r="E278" s="4">
        <v>10.0</v>
      </c>
    </row>
    <row r="279" ht="15.75" customHeight="1">
      <c r="A279" s="4" t="s">
        <v>34</v>
      </c>
      <c r="C279" s="4" t="s">
        <v>44</v>
      </c>
      <c r="D279" s="4" t="s">
        <v>53</v>
      </c>
      <c r="E279" s="4">
        <v>5.0</v>
      </c>
    </row>
    <row r="280" ht="15.75" customHeight="1">
      <c r="A280" s="4" t="s">
        <v>34</v>
      </c>
      <c r="C280" s="4" t="s">
        <v>44</v>
      </c>
      <c r="D280" s="4" t="s">
        <v>54</v>
      </c>
    </row>
    <row r="281" ht="15.75" customHeight="1">
      <c r="A281" s="4" t="s">
        <v>34</v>
      </c>
      <c r="C281" s="4" t="s">
        <v>44</v>
      </c>
      <c r="D281" s="4" t="s">
        <v>55</v>
      </c>
    </row>
    <row r="282" ht="15.75" customHeight="1">
      <c r="A282" s="4" t="s">
        <v>34</v>
      </c>
      <c r="C282" s="4" t="s">
        <v>44</v>
      </c>
      <c r="D282" s="4" t="s">
        <v>56</v>
      </c>
    </row>
    <row r="283" ht="15.75" customHeight="1">
      <c r="A283" s="4" t="s">
        <v>34</v>
      </c>
      <c r="C283" s="4" t="s">
        <v>44</v>
      </c>
      <c r="D283" s="4" t="s">
        <v>57</v>
      </c>
      <c r="E283" s="4">
        <v>5.0</v>
      </c>
    </row>
    <row r="284" ht="15.75" customHeight="1">
      <c r="A284" s="4" t="s">
        <v>34</v>
      </c>
      <c r="B284" s="4">
        <v>5.0</v>
      </c>
      <c r="C284" s="4" t="s">
        <v>47</v>
      </c>
      <c r="D284" s="9" t="s">
        <v>58</v>
      </c>
      <c r="E284" s="4">
        <v>10.0</v>
      </c>
    </row>
    <row r="285" ht="15.75" customHeight="1">
      <c r="A285" s="4" t="s">
        <v>34</v>
      </c>
      <c r="C285" s="4" t="s">
        <v>44</v>
      </c>
      <c r="D285" s="4" t="s">
        <v>59</v>
      </c>
      <c r="E285" s="4">
        <v>0.5</v>
      </c>
    </row>
    <row r="286" ht="15.75" customHeight="1">
      <c r="A286" s="4" t="s">
        <v>34</v>
      </c>
      <c r="C286" s="4" t="s">
        <v>44</v>
      </c>
      <c r="D286" s="4" t="s">
        <v>60</v>
      </c>
      <c r="E286" s="4">
        <v>1.5</v>
      </c>
    </row>
    <row r="287" ht="15.75" customHeight="1">
      <c r="A287" s="4" t="s">
        <v>34</v>
      </c>
      <c r="C287" s="4" t="s">
        <v>44</v>
      </c>
      <c r="D287" s="4" t="s">
        <v>61</v>
      </c>
      <c r="E287" s="4">
        <v>2.0</v>
      </c>
    </row>
    <row r="288" ht="15.75" customHeight="1">
      <c r="A288" s="4" t="s">
        <v>34</v>
      </c>
      <c r="C288" s="4" t="s">
        <v>44</v>
      </c>
      <c r="D288" s="4" t="s">
        <v>62</v>
      </c>
      <c r="E288" s="4">
        <v>4.0</v>
      </c>
    </row>
    <row r="289" ht="15.75" customHeight="1">
      <c r="A289" s="4" t="s">
        <v>34</v>
      </c>
      <c r="C289" s="4" t="s">
        <v>44</v>
      </c>
      <c r="D289" s="4" t="s">
        <v>63</v>
      </c>
      <c r="E289" s="4">
        <v>2.0</v>
      </c>
    </row>
    <row r="290" ht="15.75" customHeight="1">
      <c r="A290" s="4" t="s">
        <v>34</v>
      </c>
      <c r="B290" s="4">
        <v>6.0</v>
      </c>
      <c r="C290" s="4" t="s">
        <v>47</v>
      </c>
      <c r="D290" s="9" t="s">
        <v>64</v>
      </c>
      <c r="E290" s="4">
        <v>8.0</v>
      </c>
    </row>
    <row r="291" ht="15.75" customHeight="1">
      <c r="A291" s="4" t="s">
        <v>34</v>
      </c>
      <c r="C291" s="4" t="s">
        <v>44</v>
      </c>
      <c r="D291" s="4" t="s">
        <v>65</v>
      </c>
      <c r="E291" s="4">
        <v>2.0</v>
      </c>
    </row>
    <row r="292" ht="15.75" customHeight="1">
      <c r="A292" s="4" t="s">
        <v>34</v>
      </c>
      <c r="C292" s="4" t="s">
        <v>44</v>
      </c>
      <c r="D292" s="4" t="s">
        <v>66</v>
      </c>
      <c r="E292" s="4">
        <v>2.0</v>
      </c>
    </row>
    <row r="293" ht="15.75" customHeight="1">
      <c r="A293" s="4" t="s">
        <v>34</v>
      </c>
      <c r="C293" s="4" t="s">
        <v>44</v>
      </c>
      <c r="D293" s="4" t="s">
        <v>67</v>
      </c>
      <c r="E293" s="4">
        <v>2.0</v>
      </c>
    </row>
    <row r="294" ht="15.75" customHeight="1">
      <c r="A294" s="4" t="s">
        <v>34</v>
      </c>
      <c r="C294" s="4" t="s">
        <v>44</v>
      </c>
      <c r="D294" s="4" t="s">
        <v>68</v>
      </c>
      <c r="E294" s="4">
        <v>1.2</v>
      </c>
    </row>
    <row r="295" ht="15.75" customHeight="1">
      <c r="A295" s="4" t="s">
        <v>34</v>
      </c>
      <c r="C295" s="4" t="s">
        <v>44</v>
      </c>
      <c r="D295" s="4" t="s">
        <v>69</v>
      </c>
      <c r="E295" s="4">
        <v>0.8</v>
      </c>
    </row>
    <row r="296" ht="15.75" customHeight="1">
      <c r="A296" s="4" t="s">
        <v>34</v>
      </c>
      <c r="B296" s="4">
        <v>7.0</v>
      </c>
      <c r="C296" s="4" t="s">
        <v>47</v>
      </c>
      <c r="D296" s="9" t="s">
        <v>70</v>
      </c>
      <c r="E296" s="4">
        <v>7.0</v>
      </c>
    </row>
    <row r="297" ht="15.75" customHeight="1">
      <c r="A297" s="4" t="s">
        <v>34</v>
      </c>
      <c r="C297" s="4" t="s">
        <v>44</v>
      </c>
      <c r="D297" s="4" t="s">
        <v>71</v>
      </c>
      <c r="E297" s="4">
        <v>5.0</v>
      </c>
    </row>
    <row r="298" ht="15.75" customHeight="1">
      <c r="A298" s="4" t="s">
        <v>34</v>
      </c>
      <c r="C298" s="4" t="s">
        <v>44</v>
      </c>
      <c r="D298" s="4" t="s">
        <v>72</v>
      </c>
      <c r="E298" s="4">
        <v>2.0</v>
      </c>
    </row>
    <row r="299" ht="15.75" customHeight="1">
      <c r="A299" s="4" t="s">
        <v>34</v>
      </c>
      <c r="B299" s="4">
        <v>8.0</v>
      </c>
      <c r="C299" s="4" t="s">
        <v>47</v>
      </c>
      <c r="D299" s="9" t="s">
        <v>73</v>
      </c>
      <c r="E299" s="4">
        <v>8.0</v>
      </c>
    </row>
    <row r="300" ht="15.75" customHeight="1">
      <c r="A300" s="4" t="s">
        <v>34</v>
      </c>
      <c r="C300" s="4" t="s">
        <v>44</v>
      </c>
      <c r="D300" s="4" t="s">
        <v>74</v>
      </c>
      <c r="E300" s="4">
        <v>6.0</v>
      </c>
    </row>
    <row r="301" ht="15.75" customHeight="1">
      <c r="A301" s="4" t="s">
        <v>34</v>
      </c>
      <c r="C301" s="4" t="s">
        <v>44</v>
      </c>
      <c r="D301" s="4" t="s">
        <v>75</v>
      </c>
      <c r="E301" s="4">
        <v>2.0</v>
      </c>
    </row>
    <row r="302" ht="15.75" customHeight="1">
      <c r="A302" s="4" t="s">
        <v>34</v>
      </c>
      <c r="B302" s="4">
        <v>9.0</v>
      </c>
      <c r="C302" s="4" t="s">
        <v>47</v>
      </c>
      <c r="D302" s="9" t="s">
        <v>76</v>
      </c>
      <c r="E302" s="4">
        <v>6.0</v>
      </c>
    </row>
    <row r="303" ht="15.75" customHeight="1">
      <c r="A303" s="4" t="s">
        <v>34</v>
      </c>
      <c r="C303" s="4" t="s">
        <v>44</v>
      </c>
      <c r="D303" s="4" t="s">
        <v>77</v>
      </c>
      <c r="E303" s="4">
        <v>2.0</v>
      </c>
    </row>
    <row r="304" ht="15.75" customHeight="1">
      <c r="A304" s="4" t="s">
        <v>34</v>
      </c>
      <c r="C304" s="4" t="s">
        <v>44</v>
      </c>
      <c r="D304" s="4" t="s">
        <v>78</v>
      </c>
      <c r="E304" s="4">
        <v>2.0</v>
      </c>
    </row>
    <row r="305" ht="15.75" customHeight="1">
      <c r="A305" s="4" t="s">
        <v>34</v>
      </c>
      <c r="C305" s="4" t="s">
        <v>44</v>
      </c>
      <c r="D305" s="4" t="s">
        <v>79</v>
      </c>
      <c r="E305" s="4">
        <v>2.0</v>
      </c>
    </row>
    <row r="306" ht="15.75" customHeight="1">
      <c r="A306" s="4" t="s">
        <v>34</v>
      </c>
      <c r="B306" s="4">
        <v>10.0</v>
      </c>
      <c r="C306" s="4" t="s">
        <v>47</v>
      </c>
      <c r="D306" s="9" t="s">
        <v>80</v>
      </c>
      <c r="E306" s="4">
        <v>7.0</v>
      </c>
    </row>
    <row r="307" ht="15.75" customHeight="1">
      <c r="A307" s="4" t="s">
        <v>34</v>
      </c>
      <c r="C307" s="4" t="s">
        <v>44</v>
      </c>
      <c r="D307" s="4" t="s">
        <v>81</v>
      </c>
      <c r="E307" s="4">
        <v>3.0</v>
      </c>
    </row>
    <row r="308" ht="15.75" customHeight="1">
      <c r="A308" s="4" t="s">
        <v>34</v>
      </c>
      <c r="C308" s="4" t="s">
        <v>44</v>
      </c>
      <c r="D308" s="4" t="s">
        <v>82</v>
      </c>
      <c r="E308" s="4">
        <v>2.0</v>
      </c>
    </row>
    <row r="309" ht="15.75" customHeight="1">
      <c r="A309" s="4" t="s">
        <v>34</v>
      </c>
      <c r="C309" s="4" t="s">
        <v>44</v>
      </c>
      <c r="D309" s="4" t="s">
        <v>83</v>
      </c>
      <c r="E309" s="4">
        <v>2.0</v>
      </c>
    </row>
    <row r="310" ht="15.75" customHeight="1">
      <c r="A310" s="4" t="s">
        <v>34</v>
      </c>
      <c r="B310" s="11">
        <v>11.0</v>
      </c>
      <c r="C310" s="4" t="s">
        <v>47</v>
      </c>
      <c r="D310" s="9" t="s">
        <v>84</v>
      </c>
      <c r="E310" s="11">
        <v>4.0</v>
      </c>
    </row>
    <row r="311" ht="15.75" customHeight="1">
      <c r="A311" s="4" t="s">
        <v>34</v>
      </c>
      <c r="C311" s="4" t="b">
        <v>0</v>
      </c>
      <c r="D311" s="11" t="s">
        <v>85</v>
      </c>
      <c r="E311" s="11">
        <v>2.0</v>
      </c>
    </row>
    <row r="312" ht="15.75" customHeight="1">
      <c r="A312" s="4" t="s">
        <v>34</v>
      </c>
      <c r="C312" s="4" t="s">
        <v>44</v>
      </c>
      <c r="D312" s="11" t="s">
        <v>86</v>
      </c>
      <c r="E312" s="11">
        <v>2.0</v>
      </c>
    </row>
    <row r="313" ht="15.75" customHeight="1">
      <c r="A313" s="4" t="s">
        <v>34</v>
      </c>
      <c r="B313" s="11">
        <v>12.0</v>
      </c>
      <c r="C313" s="4" t="s">
        <v>47</v>
      </c>
      <c r="D313" s="9" t="s">
        <v>87</v>
      </c>
    </row>
    <row r="314" ht="15.75" customHeight="1">
      <c r="A314" s="4" t="s">
        <v>34</v>
      </c>
      <c r="C314" s="4" t="s">
        <v>44</v>
      </c>
      <c r="D314" s="11" t="s">
        <v>88</v>
      </c>
    </row>
    <row r="315" ht="15.75" customHeight="1">
      <c r="A315" s="4" t="s">
        <v>34</v>
      </c>
      <c r="C315" s="4" t="s">
        <v>44</v>
      </c>
      <c r="D315" s="11" t="s">
        <v>89</v>
      </c>
    </row>
    <row r="316" ht="15.75" customHeight="1">
      <c r="A316" s="4" t="s">
        <v>34</v>
      </c>
      <c r="C316" s="4" t="s">
        <v>44</v>
      </c>
      <c r="D316" s="11" t="s">
        <v>90</v>
      </c>
    </row>
    <row r="317" ht="15.75" customHeight="1">
      <c r="A317" s="4" t="s">
        <v>35</v>
      </c>
      <c r="B317" s="4">
        <v>1.0</v>
      </c>
      <c r="C317" s="4" t="s">
        <v>44</v>
      </c>
      <c r="D317" s="4" t="s">
        <v>45</v>
      </c>
      <c r="E317" s="4">
        <v>14.0</v>
      </c>
    </row>
    <row r="318" ht="15.75" customHeight="1">
      <c r="A318" s="4" t="s">
        <v>35</v>
      </c>
      <c r="B318" s="4">
        <v>2.0</v>
      </c>
      <c r="C318" s="4" t="s">
        <v>44</v>
      </c>
      <c r="D318" s="4" t="s">
        <v>46</v>
      </c>
      <c r="E318" s="4">
        <v>12.0</v>
      </c>
    </row>
    <row r="319" ht="15.75" customHeight="1">
      <c r="A319" s="4" t="s">
        <v>35</v>
      </c>
      <c r="B319" s="4">
        <v>3.0</v>
      </c>
      <c r="C319" s="4" t="s">
        <v>47</v>
      </c>
      <c r="D319" s="9" t="s">
        <v>48</v>
      </c>
      <c r="E319" s="4">
        <v>14.0</v>
      </c>
    </row>
    <row r="320" ht="15.75" customHeight="1">
      <c r="A320" s="4" t="s">
        <v>35</v>
      </c>
      <c r="C320" s="4" t="s">
        <v>44</v>
      </c>
      <c r="D320" s="4" t="s">
        <v>49</v>
      </c>
      <c r="E320" s="4">
        <v>6.0</v>
      </c>
    </row>
    <row r="321" ht="15.75" customHeight="1">
      <c r="A321" s="4" t="s">
        <v>35</v>
      </c>
      <c r="C321" s="4" t="s">
        <v>44</v>
      </c>
      <c r="D321" s="4" t="s">
        <v>50</v>
      </c>
      <c r="E321" s="4">
        <v>6.0</v>
      </c>
    </row>
    <row r="322" ht="15.75" customHeight="1">
      <c r="A322" s="4" t="s">
        <v>35</v>
      </c>
      <c r="C322" s="4" t="s">
        <v>44</v>
      </c>
      <c r="D322" s="4" t="s">
        <v>51</v>
      </c>
      <c r="E322" s="4">
        <v>2.0</v>
      </c>
    </row>
    <row r="323" ht="15.75" customHeight="1">
      <c r="A323" s="4" t="s">
        <v>35</v>
      </c>
      <c r="B323" s="4">
        <v>4.0</v>
      </c>
      <c r="C323" s="4" t="s">
        <v>47</v>
      </c>
      <c r="D323" s="9" t="s">
        <v>52</v>
      </c>
      <c r="E323" s="4">
        <v>10.0</v>
      </c>
    </row>
    <row r="324" ht="15.75" customHeight="1">
      <c r="A324" s="4" t="s">
        <v>35</v>
      </c>
      <c r="C324" s="4" t="s">
        <v>44</v>
      </c>
      <c r="D324" s="4" t="s">
        <v>53</v>
      </c>
      <c r="E324" s="4">
        <v>5.0</v>
      </c>
    </row>
    <row r="325" ht="15.75" customHeight="1">
      <c r="A325" s="4" t="s">
        <v>35</v>
      </c>
      <c r="C325" s="4" t="s">
        <v>44</v>
      </c>
      <c r="D325" s="4" t="s">
        <v>54</v>
      </c>
    </row>
    <row r="326" ht="15.75" customHeight="1">
      <c r="A326" s="4" t="s">
        <v>35</v>
      </c>
      <c r="C326" s="4" t="s">
        <v>44</v>
      </c>
      <c r="D326" s="4" t="s">
        <v>55</v>
      </c>
    </row>
    <row r="327" ht="15.75" customHeight="1">
      <c r="A327" s="4" t="s">
        <v>35</v>
      </c>
      <c r="C327" s="4" t="s">
        <v>44</v>
      </c>
      <c r="D327" s="4" t="s">
        <v>56</v>
      </c>
    </row>
    <row r="328" ht="15.75" customHeight="1">
      <c r="A328" s="4" t="s">
        <v>35</v>
      </c>
      <c r="C328" s="4" t="s">
        <v>44</v>
      </c>
      <c r="D328" s="4" t="s">
        <v>57</v>
      </c>
      <c r="E328" s="4">
        <v>5.0</v>
      </c>
    </row>
    <row r="329" ht="15.75" customHeight="1">
      <c r="A329" s="4" t="s">
        <v>35</v>
      </c>
      <c r="B329" s="4">
        <v>5.0</v>
      </c>
      <c r="C329" s="4" t="s">
        <v>47</v>
      </c>
      <c r="D329" s="9" t="s">
        <v>58</v>
      </c>
      <c r="E329" s="4">
        <v>10.0</v>
      </c>
    </row>
    <row r="330" ht="15.75" customHeight="1">
      <c r="A330" s="4" t="s">
        <v>35</v>
      </c>
      <c r="C330" s="4" t="s">
        <v>44</v>
      </c>
      <c r="D330" s="4" t="s">
        <v>59</v>
      </c>
      <c r="E330" s="4">
        <v>0.5</v>
      </c>
    </row>
    <row r="331" ht="15.75" customHeight="1">
      <c r="A331" s="4" t="s">
        <v>35</v>
      </c>
      <c r="C331" s="4" t="s">
        <v>44</v>
      </c>
      <c r="D331" s="4" t="s">
        <v>60</v>
      </c>
      <c r="E331" s="4">
        <v>1.5</v>
      </c>
    </row>
    <row r="332" ht="15.75" customHeight="1">
      <c r="A332" s="4" t="s">
        <v>35</v>
      </c>
      <c r="C332" s="4" t="s">
        <v>44</v>
      </c>
      <c r="D332" s="4" t="s">
        <v>61</v>
      </c>
      <c r="E332" s="4">
        <v>2.0</v>
      </c>
    </row>
    <row r="333" ht="15.75" customHeight="1">
      <c r="A333" s="4" t="s">
        <v>35</v>
      </c>
      <c r="C333" s="4" t="s">
        <v>44</v>
      </c>
      <c r="D333" s="4" t="s">
        <v>62</v>
      </c>
      <c r="E333" s="4">
        <v>4.0</v>
      </c>
    </row>
    <row r="334" ht="15.75" customHeight="1">
      <c r="A334" s="4" t="s">
        <v>35</v>
      </c>
      <c r="C334" s="4" t="s">
        <v>44</v>
      </c>
      <c r="D334" s="4" t="s">
        <v>63</v>
      </c>
      <c r="E334" s="4">
        <v>2.0</v>
      </c>
    </row>
    <row r="335" ht="15.75" customHeight="1">
      <c r="A335" s="4" t="s">
        <v>35</v>
      </c>
      <c r="B335" s="4">
        <v>6.0</v>
      </c>
      <c r="C335" s="4" t="s">
        <v>47</v>
      </c>
      <c r="D335" s="9" t="s">
        <v>64</v>
      </c>
      <c r="E335" s="4">
        <v>8.0</v>
      </c>
    </row>
    <row r="336" ht="15.75" customHeight="1">
      <c r="A336" s="4" t="s">
        <v>35</v>
      </c>
      <c r="C336" s="4" t="s">
        <v>44</v>
      </c>
      <c r="D336" s="4" t="s">
        <v>65</v>
      </c>
      <c r="E336" s="4">
        <v>2.0</v>
      </c>
    </row>
    <row r="337" ht="15.75" customHeight="1">
      <c r="A337" s="4" t="s">
        <v>35</v>
      </c>
      <c r="C337" s="4" t="s">
        <v>44</v>
      </c>
      <c r="D337" s="4" t="s">
        <v>66</v>
      </c>
      <c r="E337" s="4">
        <v>2.0</v>
      </c>
    </row>
    <row r="338" ht="15.75" customHeight="1">
      <c r="A338" s="4" t="s">
        <v>35</v>
      </c>
      <c r="C338" s="4" t="s">
        <v>44</v>
      </c>
      <c r="D338" s="4" t="s">
        <v>67</v>
      </c>
      <c r="E338" s="4">
        <v>2.0</v>
      </c>
    </row>
    <row r="339" ht="15.75" customHeight="1">
      <c r="A339" s="4" t="s">
        <v>35</v>
      </c>
      <c r="C339" s="4" t="s">
        <v>44</v>
      </c>
      <c r="D339" s="4" t="s">
        <v>68</v>
      </c>
      <c r="E339" s="4">
        <v>1.2</v>
      </c>
    </row>
    <row r="340" ht="15.75" customHeight="1">
      <c r="A340" s="4" t="s">
        <v>35</v>
      </c>
      <c r="C340" s="4" t="s">
        <v>44</v>
      </c>
      <c r="D340" s="4" t="s">
        <v>69</v>
      </c>
      <c r="E340" s="4">
        <v>0.8</v>
      </c>
    </row>
    <row r="341" ht="15.75" customHeight="1">
      <c r="A341" s="4" t="s">
        <v>35</v>
      </c>
      <c r="B341" s="4">
        <v>7.0</v>
      </c>
      <c r="C341" s="4" t="s">
        <v>47</v>
      </c>
      <c r="D341" s="9" t="s">
        <v>70</v>
      </c>
      <c r="E341" s="4">
        <v>7.0</v>
      </c>
    </row>
    <row r="342" ht="15.75" customHeight="1">
      <c r="A342" s="4" t="s">
        <v>35</v>
      </c>
      <c r="C342" s="4" t="s">
        <v>44</v>
      </c>
      <c r="D342" s="4" t="s">
        <v>71</v>
      </c>
      <c r="E342" s="4">
        <v>5.0</v>
      </c>
    </row>
    <row r="343" ht="15.75" customHeight="1">
      <c r="A343" s="4" t="s">
        <v>35</v>
      </c>
      <c r="C343" s="4" t="s">
        <v>44</v>
      </c>
      <c r="D343" s="4" t="s">
        <v>72</v>
      </c>
      <c r="E343" s="4">
        <v>2.0</v>
      </c>
    </row>
    <row r="344" ht="15.75" customHeight="1">
      <c r="A344" s="4" t="s">
        <v>35</v>
      </c>
      <c r="B344" s="4">
        <v>8.0</v>
      </c>
      <c r="C344" s="4" t="s">
        <v>47</v>
      </c>
      <c r="D344" s="9" t="s">
        <v>73</v>
      </c>
      <c r="E344" s="4">
        <v>8.0</v>
      </c>
    </row>
    <row r="345" ht="15.75" customHeight="1">
      <c r="A345" s="4" t="s">
        <v>35</v>
      </c>
      <c r="C345" s="4" t="s">
        <v>44</v>
      </c>
      <c r="D345" s="4" t="s">
        <v>74</v>
      </c>
      <c r="E345" s="4">
        <v>6.0</v>
      </c>
    </row>
    <row r="346" ht="15.75" customHeight="1">
      <c r="A346" s="4" t="s">
        <v>35</v>
      </c>
      <c r="C346" s="4" t="s">
        <v>44</v>
      </c>
      <c r="D346" s="4" t="s">
        <v>75</v>
      </c>
      <c r="E346" s="4">
        <v>2.0</v>
      </c>
    </row>
    <row r="347" ht="15.75" customHeight="1">
      <c r="A347" s="4" t="s">
        <v>35</v>
      </c>
      <c r="B347" s="4">
        <v>9.0</v>
      </c>
      <c r="C347" s="4" t="s">
        <v>47</v>
      </c>
      <c r="D347" s="9" t="s">
        <v>76</v>
      </c>
      <c r="E347" s="4">
        <v>6.0</v>
      </c>
    </row>
    <row r="348" ht="15.75" customHeight="1">
      <c r="A348" s="4" t="s">
        <v>35</v>
      </c>
      <c r="C348" s="4" t="s">
        <v>44</v>
      </c>
      <c r="D348" s="4" t="s">
        <v>77</v>
      </c>
      <c r="E348" s="4">
        <v>2.0</v>
      </c>
    </row>
    <row r="349" ht="15.75" customHeight="1">
      <c r="A349" s="4" t="s">
        <v>35</v>
      </c>
      <c r="C349" s="4" t="s">
        <v>44</v>
      </c>
      <c r="D349" s="4" t="s">
        <v>78</v>
      </c>
      <c r="E349" s="4">
        <v>2.0</v>
      </c>
    </row>
    <row r="350" ht="15.75" customHeight="1">
      <c r="A350" s="4" t="s">
        <v>35</v>
      </c>
      <c r="C350" s="4" t="s">
        <v>44</v>
      </c>
      <c r="D350" s="4" t="s">
        <v>79</v>
      </c>
      <c r="E350" s="4">
        <v>2.0</v>
      </c>
    </row>
    <row r="351" ht="15.75" customHeight="1">
      <c r="A351" s="4" t="s">
        <v>35</v>
      </c>
      <c r="B351" s="4">
        <v>10.0</v>
      </c>
      <c r="C351" s="4" t="s">
        <v>47</v>
      </c>
      <c r="D351" s="9" t="s">
        <v>80</v>
      </c>
      <c r="E351" s="4">
        <v>7.0</v>
      </c>
    </row>
    <row r="352" ht="15.75" customHeight="1">
      <c r="A352" s="4" t="s">
        <v>35</v>
      </c>
      <c r="C352" s="4" t="s">
        <v>44</v>
      </c>
      <c r="D352" s="4" t="s">
        <v>81</v>
      </c>
      <c r="E352" s="4">
        <v>3.0</v>
      </c>
    </row>
    <row r="353" ht="15.75" customHeight="1">
      <c r="A353" s="4" t="s">
        <v>35</v>
      </c>
      <c r="C353" s="4" t="s">
        <v>44</v>
      </c>
      <c r="D353" s="4" t="s">
        <v>82</v>
      </c>
      <c r="E353" s="4">
        <v>2.0</v>
      </c>
    </row>
    <row r="354" ht="15.75" customHeight="1">
      <c r="A354" s="4" t="s">
        <v>35</v>
      </c>
      <c r="C354" s="4" t="s">
        <v>44</v>
      </c>
      <c r="D354" s="4" t="s">
        <v>83</v>
      </c>
      <c r="E354" s="4">
        <v>2.0</v>
      </c>
    </row>
    <row r="355" ht="15.75" customHeight="1">
      <c r="A355" s="4" t="s">
        <v>35</v>
      </c>
      <c r="B355" s="11">
        <v>11.0</v>
      </c>
      <c r="C355" s="4" t="s">
        <v>47</v>
      </c>
      <c r="D355" s="9" t="s">
        <v>84</v>
      </c>
      <c r="E355" s="11">
        <v>4.0</v>
      </c>
    </row>
    <row r="356" ht="15.75" customHeight="1">
      <c r="A356" s="4" t="s">
        <v>35</v>
      </c>
      <c r="C356" s="4" t="b">
        <v>0</v>
      </c>
      <c r="D356" s="11" t="s">
        <v>85</v>
      </c>
      <c r="E356" s="11">
        <v>2.0</v>
      </c>
    </row>
    <row r="357" ht="15.75" customHeight="1">
      <c r="A357" s="4" t="s">
        <v>35</v>
      </c>
      <c r="C357" s="4" t="s">
        <v>44</v>
      </c>
      <c r="D357" s="11" t="s">
        <v>86</v>
      </c>
      <c r="E357" s="11">
        <v>2.0</v>
      </c>
    </row>
    <row r="358" ht="15.75" customHeight="1">
      <c r="A358" s="4" t="s">
        <v>35</v>
      </c>
      <c r="B358" s="11">
        <v>12.0</v>
      </c>
      <c r="C358" s="4" t="s">
        <v>47</v>
      </c>
      <c r="D358" s="9" t="s">
        <v>87</v>
      </c>
    </row>
    <row r="359" ht="15.75" customHeight="1">
      <c r="A359" s="4" t="s">
        <v>35</v>
      </c>
      <c r="C359" s="4" t="s">
        <v>44</v>
      </c>
      <c r="D359" s="11" t="s">
        <v>88</v>
      </c>
    </row>
    <row r="360" ht="15.75" customHeight="1">
      <c r="A360" s="4" t="s">
        <v>35</v>
      </c>
      <c r="C360" s="4" t="s">
        <v>44</v>
      </c>
      <c r="D360" s="11" t="s">
        <v>89</v>
      </c>
    </row>
    <row r="361" ht="15.75" customHeight="1">
      <c r="A361" s="4" t="s">
        <v>35</v>
      </c>
      <c r="C361" s="4" t="s">
        <v>44</v>
      </c>
      <c r="D361" s="11" t="s">
        <v>90</v>
      </c>
    </row>
    <row r="362" ht="15.75" customHeight="1">
      <c r="A362" s="4" t="s">
        <v>36</v>
      </c>
      <c r="B362" s="4">
        <v>1.0</v>
      </c>
      <c r="C362" s="4" t="s">
        <v>44</v>
      </c>
      <c r="D362" s="4" t="s">
        <v>45</v>
      </c>
      <c r="E362" s="4">
        <v>14.0</v>
      </c>
    </row>
    <row r="363" ht="15.75" customHeight="1">
      <c r="A363" s="4" t="s">
        <v>36</v>
      </c>
      <c r="B363" s="4">
        <v>2.0</v>
      </c>
      <c r="C363" s="4" t="s">
        <v>44</v>
      </c>
      <c r="D363" s="4" t="s">
        <v>46</v>
      </c>
      <c r="E363" s="4">
        <v>12.0</v>
      </c>
    </row>
    <row r="364" ht="15.75" customHeight="1">
      <c r="A364" s="4" t="s">
        <v>36</v>
      </c>
      <c r="B364" s="4">
        <v>3.0</v>
      </c>
      <c r="C364" s="4" t="s">
        <v>47</v>
      </c>
      <c r="D364" s="9" t="s">
        <v>48</v>
      </c>
      <c r="E364" s="4">
        <v>14.0</v>
      </c>
    </row>
    <row r="365" ht="15.75" customHeight="1">
      <c r="A365" s="4" t="s">
        <v>36</v>
      </c>
      <c r="C365" s="4" t="s">
        <v>44</v>
      </c>
      <c r="D365" s="4" t="s">
        <v>49</v>
      </c>
      <c r="E365" s="4">
        <v>6.0</v>
      </c>
    </row>
    <row r="366" ht="15.75" customHeight="1">
      <c r="A366" s="4" t="s">
        <v>36</v>
      </c>
      <c r="C366" s="4" t="s">
        <v>44</v>
      </c>
      <c r="D366" s="4" t="s">
        <v>50</v>
      </c>
      <c r="E366" s="4">
        <v>6.0</v>
      </c>
    </row>
    <row r="367" ht="15.75" customHeight="1">
      <c r="A367" s="4" t="s">
        <v>36</v>
      </c>
      <c r="C367" s="4" t="s">
        <v>44</v>
      </c>
      <c r="D367" s="4" t="s">
        <v>51</v>
      </c>
      <c r="E367" s="4">
        <v>2.0</v>
      </c>
    </row>
    <row r="368" ht="15.75" customHeight="1">
      <c r="A368" s="4" t="s">
        <v>36</v>
      </c>
      <c r="B368" s="4">
        <v>4.0</v>
      </c>
      <c r="C368" s="4" t="s">
        <v>47</v>
      </c>
      <c r="D368" s="9" t="s">
        <v>52</v>
      </c>
      <c r="E368" s="4">
        <v>10.0</v>
      </c>
    </row>
    <row r="369" ht="15.75" customHeight="1">
      <c r="A369" s="4" t="s">
        <v>36</v>
      </c>
      <c r="C369" s="4" t="s">
        <v>44</v>
      </c>
      <c r="D369" s="4" t="s">
        <v>53</v>
      </c>
      <c r="E369" s="4">
        <v>5.0</v>
      </c>
    </row>
    <row r="370" ht="15.75" customHeight="1">
      <c r="A370" s="4" t="s">
        <v>36</v>
      </c>
      <c r="C370" s="4" t="s">
        <v>44</v>
      </c>
      <c r="D370" s="4" t="s">
        <v>54</v>
      </c>
    </row>
    <row r="371" ht="15.75" customHeight="1">
      <c r="A371" s="4" t="s">
        <v>36</v>
      </c>
      <c r="C371" s="4" t="s">
        <v>44</v>
      </c>
      <c r="D371" s="4" t="s">
        <v>55</v>
      </c>
    </row>
    <row r="372" ht="15.75" customHeight="1">
      <c r="A372" s="4" t="s">
        <v>36</v>
      </c>
      <c r="C372" s="4" t="s">
        <v>44</v>
      </c>
      <c r="D372" s="4" t="s">
        <v>56</v>
      </c>
    </row>
    <row r="373" ht="15.75" customHeight="1">
      <c r="A373" s="4" t="s">
        <v>36</v>
      </c>
      <c r="C373" s="4" t="s">
        <v>44</v>
      </c>
      <c r="D373" s="4" t="s">
        <v>57</v>
      </c>
      <c r="E373" s="4">
        <v>5.0</v>
      </c>
    </row>
    <row r="374" ht="15.75" customHeight="1">
      <c r="A374" s="4" t="s">
        <v>36</v>
      </c>
      <c r="B374" s="4">
        <v>5.0</v>
      </c>
      <c r="C374" s="4" t="s">
        <v>47</v>
      </c>
      <c r="D374" s="9" t="s">
        <v>58</v>
      </c>
      <c r="E374" s="4">
        <v>10.0</v>
      </c>
    </row>
    <row r="375" ht="15.75" customHeight="1">
      <c r="A375" s="4" t="s">
        <v>36</v>
      </c>
      <c r="C375" s="4" t="s">
        <v>44</v>
      </c>
      <c r="D375" s="4" t="s">
        <v>59</v>
      </c>
      <c r="E375" s="4">
        <v>0.5</v>
      </c>
    </row>
    <row r="376" ht="15.75" customHeight="1">
      <c r="A376" s="4" t="s">
        <v>36</v>
      </c>
      <c r="C376" s="4" t="s">
        <v>44</v>
      </c>
      <c r="D376" s="4" t="s">
        <v>60</v>
      </c>
      <c r="E376" s="4">
        <v>1.5</v>
      </c>
    </row>
    <row r="377" ht="15.75" customHeight="1">
      <c r="A377" s="4" t="s">
        <v>36</v>
      </c>
      <c r="C377" s="4" t="s">
        <v>44</v>
      </c>
      <c r="D377" s="4" t="s">
        <v>61</v>
      </c>
      <c r="E377" s="4">
        <v>2.0</v>
      </c>
    </row>
    <row r="378" ht="15.75" customHeight="1">
      <c r="A378" s="4" t="s">
        <v>36</v>
      </c>
      <c r="C378" s="4" t="s">
        <v>44</v>
      </c>
      <c r="D378" s="4" t="s">
        <v>62</v>
      </c>
      <c r="E378" s="4">
        <v>4.0</v>
      </c>
    </row>
    <row r="379" ht="15.75" customHeight="1">
      <c r="A379" s="4" t="s">
        <v>36</v>
      </c>
      <c r="C379" s="4" t="s">
        <v>44</v>
      </c>
      <c r="D379" s="4" t="s">
        <v>63</v>
      </c>
      <c r="E379" s="4">
        <v>2.0</v>
      </c>
    </row>
    <row r="380" ht="15.75" customHeight="1">
      <c r="A380" s="4" t="s">
        <v>36</v>
      </c>
      <c r="B380" s="4">
        <v>6.0</v>
      </c>
      <c r="C380" s="4" t="s">
        <v>47</v>
      </c>
      <c r="D380" s="9" t="s">
        <v>64</v>
      </c>
      <c r="E380" s="4">
        <v>8.0</v>
      </c>
    </row>
    <row r="381" ht="15.75" customHeight="1">
      <c r="A381" s="4" t="s">
        <v>36</v>
      </c>
      <c r="C381" s="4" t="s">
        <v>44</v>
      </c>
      <c r="D381" s="4" t="s">
        <v>65</v>
      </c>
      <c r="E381" s="4">
        <v>2.0</v>
      </c>
    </row>
    <row r="382" ht="15.75" customHeight="1">
      <c r="A382" s="4" t="s">
        <v>36</v>
      </c>
      <c r="C382" s="4" t="s">
        <v>44</v>
      </c>
      <c r="D382" s="4" t="s">
        <v>66</v>
      </c>
      <c r="E382" s="4">
        <v>2.0</v>
      </c>
    </row>
    <row r="383" ht="15.75" customHeight="1">
      <c r="A383" s="4" t="s">
        <v>36</v>
      </c>
      <c r="C383" s="4" t="s">
        <v>44</v>
      </c>
      <c r="D383" s="4" t="s">
        <v>67</v>
      </c>
      <c r="E383" s="4">
        <v>2.0</v>
      </c>
    </row>
    <row r="384" ht="15.75" customHeight="1">
      <c r="A384" s="4" t="s">
        <v>36</v>
      </c>
      <c r="C384" s="4" t="s">
        <v>44</v>
      </c>
      <c r="D384" s="4" t="s">
        <v>68</v>
      </c>
      <c r="E384" s="4">
        <v>1.2</v>
      </c>
    </row>
    <row r="385" ht="15.75" customHeight="1">
      <c r="A385" s="4" t="s">
        <v>36</v>
      </c>
      <c r="C385" s="4" t="s">
        <v>44</v>
      </c>
      <c r="D385" s="4" t="s">
        <v>69</v>
      </c>
      <c r="E385" s="4">
        <v>0.8</v>
      </c>
    </row>
    <row r="386" ht="15.75" customHeight="1">
      <c r="A386" s="4" t="s">
        <v>36</v>
      </c>
      <c r="B386" s="4">
        <v>7.0</v>
      </c>
      <c r="C386" s="4" t="s">
        <v>47</v>
      </c>
      <c r="D386" s="9" t="s">
        <v>70</v>
      </c>
      <c r="E386" s="4">
        <v>7.0</v>
      </c>
    </row>
    <row r="387" ht="15.75" customHeight="1">
      <c r="A387" s="4" t="s">
        <v>36</v>
      </c>
      <c r="C387" s="4" t="s">
        <v>44</v>
      </c>
      <c r="D387" s="4" t="s">
        <v>71</v>
      </c>
      <c r="E387" s="4">
        <v>5.0</v>
      </c>
    </row>
    <row r="388" ht="15.75" customHeight="1">
      <c r="A388" s="4" t="s">
        <v>36</v>
      </c>
      <c r="C388" s="4" t="s">
        <v>44</v>
      </c>
      <c r="D388" s="4" t="s">
        <v>72</v>
      </c>
      <c r="E388" s="4">
        <v>2.0</v>
      </c>
    </row>
    <row r="389" ht="15.75" customHeight="1">
      <c r="A389" s="4" t="s">
        <v>36</v>
      </c>
      <c r="B389" s="4">
        <v>8.0</v>
      </c>
      <c r="C389" s="4" t="s">
        <v>47</v>
      </c>
      <c r="D389" s="9" t="s">
        <v>73</v>
      </c>
      <c r="E389" s="4">
        <v>8.0</v>
      </c>
    </row>
    <row r="390" ht="15.75" customHeight="1">
      <c r="A390" s="4" t="s">
        <v>36</v>
      </c>
      <c r="C390" s="4" t="s">
        <v>44</v>
      </c>
      <c r="D390" s="4" t="s">
        <v>74</v>
      </c>
      <c r="E390" s="4">
        <v>6.0</v>
      </c>
    </row>
    <row r="391" ht="15.75" customHeight="1">
      <c r="A391" s="4" t="s">
        <v>36</v>
      </c>
      <c r="C391" s="4" t="s">
        <v>44</v>
      </c>
      <c r="D391" s="4" t="s">
        <v>75</v>
      </c>
      <c r="E391" s="4">
        <v>2.0</v>
      </c>
    </row>
    <row r="392" ht="15.75" customHeight="1">
      <c r="A392" s="4" t="s">
        <v>36</v>
      </c>
      <c r="B392" s="4">
        <v>9.0</v>
      </c>
      <c r="C392" s="4" t="s">
        <v>47</v>
      </c>
      <c r="D392" s="9" t="s">
        <v>76</v>
      </c>
      <c r="E392" s="4">
        <v>6.0</v>
      </c>
    </row>
    <row r="393" ht="15.75" customHeight="1">
      <c r="A393" s="4" t="s">
        <v>36</v>
      </c>
      <c r="C393" s="4" t="s">
        <v>44</v>
      </c>
      <c r="D393" s="4" t="s">
        <v>77</v>
      </c>
      <c r="E393" s="4">
        <v>2.0</v>
      </c>
    </row>
    <row r="394" ht="15.75" customHeight="1">
      <c r="A394" s="4" t="s">
        <v>36</v>
      </c>
      <c r="C394" s="4" t="s">
        <v>44</v>
      </c>
      <c r="D394" s="4" t="s">
        <v>78</v>
      </c>
      <c r="E394" s="4">
        <v>2.0</v>
      </c>
    </row>
    <row r="395" ht="15.75" customHeight="1">
      <c r="A395" s="4" t="s">
        <v>36</v>
      </c>
      <c r="C395" s="4" t="s">
        <v>44</v>
      </c>
      <c r="D395" s="4" t="s">
        <v>79</v>
      </c>
      <c r="E395" s="4">
        <v>2.0</v>
      </c>
    </row>
    <row r="396" ht="15.75" customHeight="1">
      <c r="A396" s="4" t="s">
        <v>36</v>
      </c>
      <c r="B396" s="4">
        <v>10.0</v>
      </c>
      <c r="C396" s="4" t="s">
        <v>47</v>
      </c>
      <c r="D396" s="9" t="s">
        <v>80</v>
      </c>
      <c r="E396" s="4">
        <v>7.0</v>
      </c>
    </row>
    <row r="397" ht="15.75" customHeight="1">
      <c r="A397" s="4" t="s">
        <v>36</v>
      </c>
      <c r="C397" s="4" t="s">
        <v>44</v>
      </c>
      <c r="D397" s="4" t="s">
        <v>81</v>
      </c>
      <c r="E397" s="4">
        <v>3.0</v>
      </c>
    </row>
    <row r="398" ht="15.75" customHeight="1">
      <c r="A398" s="4" t="s">
        <v>36</v>
      </c>
      <c r="C398" s="4" t="s">
        <v>44</v>
      </c>
      <c r="D398" s="4" t="s">
        <v>82</v>
      </c>
      <c r="E398" s="4">
        <v>2.0</v>
      </c>
    </row>
    <row r="399" ht="15.75" customHeight="1">
      <c r="A399" s="4" t="s">
        <v>36</v>
      </c>
      <c r="C399" s="4" t="s">
        <v>44</v>
      </c>
      <c r="D399" s="4" t="s">
        <v>83</v>
      </c>
      <c r="E399" s="4">
        <v>2.0</v>
      </c>
    </row>
    <row r="400" ht="15.75" customHeight="1">
      <c r="A400" s="4" t="s">
        <v>36</v>
      </c>
      <c r="B400" s="11">
        <v>11.0</v>
      </c>
      <c r="C400" s="4" t="s">
        <v>47</v>
      </c>
      <c r="D400" s="9" t="s">
        <v>84</v>
      </c>
      <c r="E400" s="11">
        <v>4.0</v>
      </c>
    </row>
    <row r="401" ht="15.75" customHeight="1">
      <c r="A401" s="4" t="s">
        <v>36</v>
      </c>
      <c r="C401" s="4" t="b">
        <v>0</v>
      </c>
      <c r="D401" s="11" t="s">
        <v>85</v>
      </c>
      <c r="E401" s="11">
        <v>2.0</v>
      </c>
    </row>
    <row r="402" ht="15.75" customHeight="1">
      <c r="A402" s="4" t="s">
        <v>36</v>
      </c>
      <c r="C402" s="4" t="s">
        <v>44</v>
      </c>
      <c r="D402" s="11" t="s">
        <v>86</v>
      </c>
      <c r="E402" s="11">
        <v>2.0</v>
      </c>
    </row>
    <row r="403" ht="15.75" customHeight="1">
      <c r="A403" s="4" t="s">
        <v>36</v>
      </c>
      <c r="B403" s="11">
        <v>12.0</v>
      </c>
      <c r="C403" s="4" t="s">
        <v>47</v>
      </c>
      <c r="D403" s="9" t="s">
        <v>87</v>
      </c>
    </row>
    <row r="404" ht="15.75" customHeight="1">
      <c r="A404" s="4" t="s">
        <v>36</v>
      </c>
      <c r="C404" s="4" t="s">
        <v>44</v>
      </c>
      <c r="D404" s="11" t="s">
        <v>88</v>
      </c>
    </row>
    <row r="405" ht="15.75" customHeight="1">
      <c r="A405" s="4" t="s">
        <v>36</v>
      </c>
      <c r="C405" s="4" t="s">
        <v>44</v>
      </c>
      <c r="D405" s="11" t="s">
        <v>89</v>
      </c>
    </row>
    <row r="406" ht="15.75" customHeight="1">
      <c r="A406" s="4" t="s">
        <v>36</v>
      </c>
      <c r="C406" s="4" t="s">
        <v>44</v>
      </c>
      <c r="D406" s="11" t="s">
        <v>90</v>
      </c>
    </row>
    <row r="407" ht="15.75" customHeight="1">
      <c r="A407" s="4" t="s">
        <v>37</v>
      </c>
      <c r="B407" s="4">
        <v>1.0</v>
      </c>
      <c r="C407" s="4" t="s">
        <v>44</v>
      </c>
      <c r="D407" s="4" t="s">
        <v>45</v>
      </c>
      <c r="E407" s="4">
        <v>14.0</v>
      </c>
    </row>
    <row r="408" ht="15.75" customHeight="1">
      <c r="A408" s="4" t="s">
        <v>37</v>
      </c>
      <c r="B408" s="4">
        <v>2.0</v>
      </c>
      <c r="C408" s="4" t="s">
        <v>44</v>
      </c>
      <c r="D408" s="4" t="s">
        <v>46</v>
      </c>
      <c r="E408" s="4">
        <v>12.0</v>
      </c>
    </row>
    <row r="409" ht="15.75" customHeight="1">
      <c r="A409" s="4" t="s">
        <v>37</v>
      </c>
      <c r="B409" s="4">
        <v>3.0</v>
      </c>
      <c r="C409" s="4" t="s">
        <v>47</v>
      </c>
      <c r="D409" s="9" t="s">
        <v>48</v>
      </c>
      <c r="E409" s="4">
        <v>14.0</v>
      </c>
    </row>
    <row r="410" ht="15.75" customHeight="1">
      <c r="A410" s="4" t="s">
        <v>37</v>
      </c>
      <c r="C410" s="4" t="s">
        <v>44</v>
      </c>
      <c r="D410" s="4" t="s">
        <v>49</v>
      </c>
      <c r="E410" s="4">
        <v>6.0</v>
      </c>
    </row>
    <row r="411" ht="15.75" customHeight="1">
      <c r="A411" s="4" t="s">
        <v>37</v>
      </c>
      <c r="C411" s="4" t="s">
        <v>44</v>
      </c>
      <c r="D411" s="4" t="s">
        <v>50</v>
      </c>
      <c r="E411" s="4">
        <v>6.0</v>
      </c>
    </row>
    <row r="412" ht="15.75" customHeight="1">
      <c r="A412" s="4" t="s">
        <v>37</v>
      </c>
      <c r="C412" s="4" t="s">
        <v>44</v>
      </c>
      <c r="D412" s="4" t="s">
        <v>51</v>
      </c>
      <c r="E412" s="4">
        <v>2.0</v>
      </c>
    </row>
    <row r="413" ht="15.75" customHeight="1">
      <c r="A413" s="4" t="s">
        <v>37</v>
      </c>
      <c r="B413" s="4">
        <v>4.0</v>
      </c>
      <c r="C413" s="4" t="s">
        <v>47</v>
      </c>
      <c r="D413" s="9" t="s">
        <v>52</v>
      </c>
      <c r="E413" s="4">
        <v>10.0</v>
      </c>
    </row>
    <row r="414" ht="15.75" customHeight="1">
      <c r="A414" s="4" t="s">
        <v>37</v>
      </c>
      <c r="C414" s="4" t="s">
        <v>44</v>
      </c>
      <c r="D414" s="4" t="s">
        <v>53</v>
      </c>
      <c r="E414" s="4">
        <v>5.0</v>
      </c>
    </row>
    <row r="415" ht="15.75" customHeight="1">
      <c r="A415" s="4" t="s">
        <v>37</v>
      </c>
      <c r="C415" s="4" t="s">
        <v>44</v>
      </c>
      <c r="D415" s="4" t="s">
        <v>54</v>
      </c>
    </row>
    <row r="416" ht="15.75" customHeight="1">
      <c r="A416" s="4" t="s">
        <v>37</v>
      </c>
      <c r="C416" s="4" t="s">
        <v>44</v>
      </c>
      <c r="D416" s="4" t="s">
        <v>55</v>
      </c>
    </row>
    <row r="417" ht="15.75" customHeight="1">
      <c r="A417" s="4" t="s">
        <v>37</v>
      </c>
      <c r="C417" s="4" t="s">
        <v>44</v>
      </c>
      <c r="D417" s="4" t="s">
        <v>56</v>
      </c>
    </row>
    <row r="418" ht="15.75" customHeight="1">
      <c r="A418" s="4" t="s">
        <v>37</v>
      </c>
      <c r="C418" s="4" t="s">
        <v>44</v>
      </c>
      <c r="D418" s="4" t="s">
        <v>57</v>
      </c>
      <c r="E418" s="4">
        <v>5.0</v>
      </c>
    </row>
    <row r="419" ht="15.75" customHeight="1">
      <c r="A419" s="4" t="s">
        <v>37</v>
      </c>
      <c r="B419" s="4">
        <v>5.0</v>
      </c>
      <c r="C419" s="4" t="s">
        <v>47</v>
      </c>
      <c r="D419" s="9" t="s">
        <v>58</v>
      </c>
      <c r="E419" s="4">
        <v>10.0</v>
      </c>
    </row>
    <row r="420" ht="15.75" customHeight="1">
      <c r="A420" s="4" t="s">
        <v>37</v>
      </c>
      <c r="C420" s="4" t="s">
        <v>44</v>
      </c>
      <c r="D420" s="4" t="s">
        <v>59</v>
      </c>
      <c r="E420" s="4">
        <v>0.5</v>
      </c>
    </row>
    <row r="421" ht="15.75" customHeight="1">
      <c r="A421" s="4" t="s">
        <v>37</v>
      </c>
      <c r="C421" s="4" t="s">
        <v>44</v>
      </c>
      <c r="D421" s="4" t="s">
        <v>60</v>
      </c>
      <c r="E421" s="4">
        <v>1.5</v>
      </c>
    </row>
    <row r="422" ht="15.75" customHeight="1">
      <c r="A422" s="4" t="s">
        <v>37</v>
      </c>
      <c r="C422" s="4" t="s">
        <v>44</v>
      </c>
      <c r="D422" s="4" t="s">
        <v>61</v>
      </c>
      <c r="E422" s="4">
        <v>2.0</v>
      </c>
    </row>
    <row r="423" ht="15.75" customHeight="1">
      <c r="A423" s="4" t="s">
        <v>37</v>
      </c>
      <c r="C423" s="4" t="s">
        <v>44</v>
      </c>
      <c r="D423" s="4" t="s">
        <v>62</v>
      </c>
      <c r="E423" s="4">
        <v>4.0</v>
      </c>
    </row>
    <row r="424" ht="15.75" customHeight="1">
      <c r="A424" s="4" t="s">
        <v>37</v>
      </c>
      <c r="C424" s="4" t="s">
        <v>44</v>
      </c>
      <c r="D424" s="4" t="s">
        <v>63</v>
      </c>
      <c r="E424" s="4">
        <v>2.0</v>
      </c>
    </row>
    <row r="425" ht="15.75" customHeight="1">
      <c r="A425" s="4" t="s">
        <v>37</v>
      </c>
      <c r="B425" s="4">
        <v>6.0</v>
      </c>
      <c r="C425" s="4" t="s">
        <v>47</v>
      </c>
      <c r="D425" s="9" t="s">
        <v>64</v>
      </c>
      <c r="E425" s="4">
        <v>8.0</v>
      </c>
    </row>
    <row r="426" ht="15.75" customHeight="1">
      <c r="A426" s="4" t="s">
        <v>37</v>
      </c>
      <c r="C426" s="4" t="s">
        <v>44</v>
      </c>
      <c r="D426" s="4" t="s">
        <v>65</v>
      </c>
      <c r="E426" s="4">
        <v>2.0</v>
      </c>
    </row>
    <row r="427" ht="15.75" customHeight="1">
      <c r="A427" s="4" t="s">
        <v>37</v>
      </c>
      <c r="C427" s="4" t="s">
        <v>44</v>
      </c>
      <c r="D427" s="4" t="s">
        <v>66</v>
      </c>
      <c r="E427" s="4">
        <v>2.0</v>
      </c>
    </row>
    <row r="428" ht="15.75" customHeight="1">
      <c r="A428" s="4" t="s">
        <v>37</v>
      </c>
      <c r="C428" s="4" t="s">
        <v>44</v>
      </c>
      <c r="D428" s="4" t="s">
        <v>67</v>
      </c>
      <c r="E428" s="4">
        <v>2.0</v>
      </c>
    </row>
    <row r="429" ht="15.75" customHeight="1">
      <c r="A429" s="4" t="s">
        <v>37</v>
      </c>
      <c r="C429" s="4" t="s">
        <v>44</v>
      </c>
      <c r="D429" s="4" t="s">
        <v>68</v>
      </c>
      <c r="E429" s="4">
        <v>1.2</v>
      </c>
    </row>
    <row r="430" ht="15.75" customHeight="1">
      <c r="A430" s="4" t="s">
        <v>37</v>
      </c>
      <c r="C430" s="4" t="s">
        <v>44</v>
      </c>
      <c r="D430" s="4" t="s">
        <v>69</v>
      </c>
      <c r="E430" s="4">
        <v>0.8</v>
      </c>
    </row>
    <row r="431" ht="15.75" customHeight="1">
      <c r="A431" s="4" t="s">
        <v>37</v>
      </c>
      <c r="B431" s="4">
        <v>7.0</v>
      </c>
      <c r="C431" s="4" t="s">
        <v>47</v>
      </c>
      <c r="D431" s="9" t="s">
        <v>70</v>
      </c>
      <c r="E431" s="4">
        <v>7.0</v>
      </c>
    </row>
    <row r="432" ht="15.75" customHeight="1">
      <c r="A432" s="4" t="s">
        <v>37</v>
      </c>
      <c r="C432" s="4" t="s">
        <v>44</v>
      </c>
      <c r="D432" s="4" t="s">
        <v>71</v>
      </c>
      <c r="E432" s="4">
        <v>5.0</v>
      </c>
    </row>
    <row r="433" ht="15.75" customHeight="1">
      <c r="A433" s="4" t="s">
        <v>37</v>
      </c>
      <c r="C433" s="4" t="s">
        <v>44</v>
      </c>
      <c r="D433" s="4" t="s">
        <v>72</v>
      </c>
      <c r="E433" s="4">
        <v>2.0</v>
      </c>
    </row>
    <row r="434" ht="15.75" customHeight="1">
      <c r="A434" s="4" t="s">
        <v>37</v>
      </c>
      <c r="B434" s="4">
        <v>8.0</v>
      </c>
      <c r="C434" s="4" t="s">
        <v>47</v>
      </c>
      <c r="D434" s="9" t="s">
        <v>73</v>
      </c>
      <c r="E434" s="4">
        <v>8.0</v>
      </c>
    </row>
    <row r="435" ht="15.75" customHeight="1">
      <c r="A435" s="4" t="s">
        <v>37</v>
      </c>
      <c r="C435" s="4" t="s">
        <v>44</v>
      </c>
      <c r="D435" s="4" t="s">
        <v>74</v>
      </c>
      <c r="E435" s="4">
        <v>6.0</v>
      </c>
    </row>
    <row r="436" ht="15.75" customHeight="1">
      <c r="A436" s="4" t="s">
        <v>37</v>
      </c>
      <c r="C436" s="4" t="s">
        <v>44</v>
      </c>
      <c r="D436" s="4" t="s">
        <v>75</v>
      </c>
      <c r="E436" s="4">
        <v>2.0</v>
      </c>
    </row>
    <row r="437" ht="15.75" customHeight="1">
      <c r="A437" s="4" t="s">
        <v>37</v>
      </c>
      <c r="B437" s="4">
        <v>9.0</v>
      </c>
      <c r="C437" s="4" t="s">
        <v>47</v>
      </c>
      <c r="D437" s="9" t="s">
        <v>76</v>
      </c>
      <c r="E437" s="4">
        <v>6.0</v>
      </c>
    </row>
    <row r="438" ht="15.75" customHeight="1">
      <c r="A438" s="4" t="s">
        <v>37</v>
      </c>
      <c r="C438" s="4" t="s">
        <v>44</v>
      </c>
      <c r="D438" s="4" t="s">
        <v>77</v>
      </c>
      <c r="E438" s="4">
        <v>2.0</v>
      </c>
    </row>
    <row r="439" ht="15.75" customHeight="1">
      <c r="A439" s="4" t="s">
        <v>37</v>
      </c>
      <c r="C439" s="4" t="s">
        <v>44</v>
      </c>
      <c r="D439" s="4" t="s">
        <v>78</v>
      </c>
      <c r="E439" s="4">
        <v>2.0</v>
      </c>
    </row>
    <row r="440" ht="15.75" customHeight="1">
      <c r="A440" s="4" t="s">
        <v>37</v>
      </c>
      <c r="C440" s="4" t="s">
        <v>44</v>
      </c>
      <c r="D440" s="4" t="s">
        <v>79</v>
      </c>
      <c r="E440" s="4">
        <v>2.0</v>
      </c>
    </row>
    <row r="441" ht="15.75" customHeight="1">
      <c r="A441" s="4" t="s">
        <v>37</v>
      </c>
      <c r="B441" s="4">
        <v>10.0</v>
      </c>
      <c r="C441" s="4" t="s">
        <v>47</v>
      </c>
      <c r="D441" s="9" t="s">
        <v>80</v>
      </c>
      <c r="E441" s="4">
        <v>7.0</v>
      </c>
    </row>
    <row r="442" ht="15.75" customHeight="1">
      <c r="A442" s="4" t="s">
        <v>37</v>
      </c>
      <c r="C442" s="4" t="s">
        <v>44</v>
      </c>
      <c r="D442" s="4" t="s">
        <v>81</v>
      </c>
      <c r="E442" s="4">
        <v>3.0</v>
      </c>
    </row>
    <row r="443" ht="15.75" customHeight="1">
      <c r="A443" s="4" t="s">
        <v>37</v>
      </c>
      <c r="C443" s="4" t="s">
        <v>44</v>
      </c>
      <c r="D443" s="4" t="s">
        <v>82</v>
      </c>
      <c r="E443" s="4">
        <v>2.0</v>
      </c>
    </row>
    <row r="444" ht="15.75" customHeight="1">
      <c r="A444" s="4" t="s">
        <v>37</v>
      </c>
      <c r="C444" s="4" t="s">
        <v>44</v>
      </c>
      <c r="D444" s="4" t="s">
        <v>83</v>
      </c>
      <c r="E444" s="4">
        <v>2.0</v>
      </c>
    </row>
    <row r="445" ht="15.75" customHeight="1">
      <c r="A445" s="4" t="s">
        <v>37</v>
      </c>
      <c r="B445" s="11">
        <v>11.0</v>
      </c>
      <c r="C445" s="4" t="s">
        <v>47</v>
      </c>
      <c r="D445" s="9" t="s">
        <v>84</v>
      </c>
      <c r="E445" s="11">
        <v>4.0</v>
      </c>
    </row>
    <row r="446" ht="15.75" customHeight="1">
      <c r="A446" s="4" t="s">
        <v>37</v>
      </c>
      <c r="C446" s="4" t="b">
        <v>0</v>
      </c>
      <c r="D446" s="11" t="s">
        <v>85</v>
      </c>
      <c r="E446" s="11">
        <v>2.0</v>
      </c>
    </row>
    <row r="447" ht="15.75" customHeight="1">
      <c r="A447" s="4" t="s">
        <v>37</v>
      </c>
      <c r="C447" s="4" t="s">
        <v>44</v>
      </c>
      <c r="D447" s="11" t="s">
        <v>86</v>
      </c>
      <c r="E447" s="11">
        <v>2.0</v>
      </c>
    </row>
    <row r="448" ht="15.75" customHeight="1">
      <c r="A448" s="4" t="s">
        <v>37</v>
      </c>
      <c r="B448" s="11">
        <v>12.0</v>
      </c>
      <c r="C448" s="4" t="s">
        <v>47</v>
      </c>
      <c r="D448" s="9" t="s">
        <v>87</v>
      </c>
    </row>
    <row r="449" ht="15.75" customHeight="1">
      <c r="A449" s="4" t="s">
        <v>37</v>
      </c>
      <c r="C449" s="4" t="s">
        <v>44</v>
      </c>
      <c r="D449" s="11" t="s">
        <v>88</v>
      </c>
    </row>
    <row r="450" ht="15.75" customHeight="1">
      <c r="A450" s="4" t="s">
        <v>37</v>
      </c>
      <c r="C450" s="4" t="s">
        <v>44</v>
      </c>
      <c r="D450" s="11" t="s">
        <v>89</v>
      </c>
    </row>
    <row r="451" ht="15.75" customHeight="1">
      <c r="A451" s="4" t="s">
        <v>37</v>
      </c>
      <c r="C451" s="4" t="s">
        <v>44</v>
      </c>
      <c r="D451" s="11" t="s">
        <v>90</v>
      </c>
    </row>
    <row r="452" ht="15.75" customHeight="1">
      <c r="A452" s="4" t="s">
        <v>38</v>
      </c>
      <c r="B452" s="4">
        <v>1.0</v>
      </c>
      <c r="C452" s="4" t="s">
        <v>44</v>
      </c>
      <c r="D452" s="4" t="s">
        <v>45</v>
      </c>
      <c r="E452" s="4">
        <v>14.0</v>
      </c>
    </row>
    <row r="453" ht="15.75" customHeight="1">
      <c r="A453" s="4" t="s">
        <v>38</v>
      </c>
      <c r="B453" s="4">
        <v>2.0</v>
      </c>
      <c r="C453" s="4" t="s">
        <v>44</v>
      </c>
      <c r="D453" s="4" t="s">
        <v>46</v>
      </c>
      <c r="E453" s="4">
        <v>12.0</v>
      </c>
    </row>
    <row r="454" ht="15.75" customHeight="1">
      <c r="A454" s="4" t="s">
        <v>38</v>
      </c>
      <c r="B454" s="4">
        <v>3.0</v>
      </c>
      <c r="C454" s="4" t="s">
        <v>47</v>
      </c>
      <c r="D454" s="9" t="s">
        <v>48</v>
      </c>
      <c r="E454" s="4">
        <v>14.0</v>
      </c>
    </row>
    <row r="455" ht="15.75" customHeight="1">
      <c r="A455" s="4" t="s">
        <v>38</v>
      </c>
      <c r="C455" s="4" t="s">
        <v>44</v>
      </c>
      <c r="D455" s="4" t="s">
        <v>49</v>
      </c>
      <c r="E455" s="4">
        <v>6.0</v>
      </c>
    </row>
    <row r="456" ht="15.75" customHeight="1">
      <c r="A456" s="4" t="s">
        <v>38</v>
      </c>
      <c r="C456" s="4" t="s">
        <v>44</v>
      </c>
      <c r="D456" s="4" t="s">
        <v>50</v>
      </c>
      <c r="E456" s="4">
        <v>6.0</v>
      </c>
    </row>
    <row r="457" ht="15.75" customHeight="1">
      <c r="A457" s="4" t="s">
        <v>38</v>
      </c>
      <c r="C457" s="4" t="s">
        <v>44</v>
      </c>
      <c r="D457" s="4" t="s">
        <v>51</v>
      </c>
      <c r="E457" s="4">
        <v>2.0</v>
      </c>
    </row>
    <row r="458" ht="15.75" customHeight="1">
      <c r="A458" s="4" t="s">
        <v>38</v>
      </c>
      <c r="B458" s="4">
        <v>4.0</v>
      </c>
      <c r="C458" s="4" t="s">
        <v>47</v>
      </c>
      <c r="D458" s="9" t="s">
        <v>52</v>
      </c>
      <c r="E458" s="4">
        <v>10.0</v>
      </c>
    </row>
    <row r="459" ht="15.75" customHeight="1">
      <c r="A459" s="4" t="s">
        <v>38</v>
      </c>
      <c r="C459" s="4" t="s">
        <v>44</v>
      </c>
      <c r="D459" s="4" t="s">
        <v>53</v>
      </c>
      <c r="E459" s="4">
        <v>5.0</v>
      </c>
    </row>
    <row r="460" ht="15.75" customHeight="1">
      <c r="A460" s="4" t="s">
        <v>38</v>
      </c>
      <c r="C460" s="4" t="s">
        <v>44</v>
      </c>
      <c r="D460" s="4" t="s">
        <v>54</v>
      </c>
    </row>
    <row r="461" ht="15.75" customHeight="1">
      <c r="A461" s="4" t="s">
        <v>38</v>
      </c>
      <c r="C461" s="4" t="s">
        <v>44</v>
      </c>
      <c r="D461" s="4" t="s">
        <v>55</v>
      </c>
    </row>
    <row r="462" ht="15.75" customHeight="1">
      <c r="A462" s="4" t="s">
        <v>38</v>
      </c>
      <c r="C462" s="4" t="s">
        <v>44</v>
      </c>
      <c r="D462" s="4" t="s">
        <v>56</v>
      </c>
    </row>
    <row r="463" ht="15.75" customHeight="1">
      <c r="A463" s="4" t="s">
        <v>38</v>
      </c>
      <c r="C463" s="4" t="s">
        <v>44</v>
      </c>
      <c r="D463" s="4" t="s">
        <v>57</v>
      </c>
      <c r="E463" s="4">
        <v>5.0</v>
      </c>
    </row>
    <row r="464" ht="15.75" customHeight="1">
      <c r="A464" s="4" t="s">
        <v>38</v>
      </c>
      <c r="B464" s="4">
        <v>5.0</v>
      </c>
      <c r="C464" s="4" t="s">
        <v>47</v>
      </c>
      <c r="D464" s="9" t="s">
        <v>58</v>
      </c>
      <c r="E464" s="4">
        <v>10.0</v>
      </c>
    </row>
    <row r="465" ht="15.75" customHeight="1">
      <c r="A465" s="4" t="s">
        <v>38</v>
      </c>
      <c r="C465" s="4" t="s">
        <v>44</v>
      </c>
      <c r="D465" s="4" t="s">
        <v>59</v>
      </c>
      <c r="E465" s="4">
        <v>0.5</v>
      </c>
    </row>
    <row r="466" ht="15.75" customHeight="1">
      <c r="A466" s="4" t="s">
        <v>38</v>
      </c>
      <c r="C466" s="4" t="s">
        <v>44</v>
      </c>
      <c r="D466" s="4" t="s">
        <v>60</v>
      </c>
      <c r="E466" s="4">
        <v>1.5</v>
      </c>
    </row>
    <row r="467" ht="15.75" customHeight="1">
      <c r="A467" s="4" t="s">
        <v>38</v>
      </c>
      <c r="C467" s="4" t="s">
        <v>44</v>
      </c>
      <c r="D467" s="4" t="s">
        <v>61</v>
      </c>
      <c r="E467" s="4">
        <v>2.0</v>
      </c>
    </row>
    <row r="468" ht="15.75" customHeight="1">
      <c r="A468" s="4" t="s">
        <v>38</v>
      </c>
      <c r="C468" s="4" t="s">
        <v>44</v>
      </c>
      <c r="D468" s="4" t="s">
        <v>62</v>
      </c>
      <c r="E468" s="4">
        <v>4.0</v>
      </c>
    </row>
    <row r="469" ht="15.75" customHeight="1">
      <c r="A469" s="4" t="s">
        <v>38</v>
      </c>
      <c r="C469" s="4" t="s">
        <v>44</v>
      </c>
      <c r="D469" s="4" t="s">
        <v>63</v>
      </c>
      <c r="E469" s="4">
        <v>2.0</v>
      </c>
    </row>
    <row r="470" ht="15.75" customHeight="1">
      <c r="A470" s="4" t="s">
        <v>38</v>
      </c>
      <c r="B470" s="4">
        <v>6.0</v>
      </c>
      <c r="C470" s="4" t="s">
        <v>47</v>
      </c>
      <c r="D470" s="9" t="s">
        <v>64</v>
      </c>
      <c r="E470" s="4">
        <v>8.0</v>
      </c>
    </row>
    <row r="471" ht="15.75" customHeight="1">
      <c r="A471" s="4" t="s">
        <v>38</v>
      </c>
      <c r="C471" s="4" t="s">
        <v>44</v>
      </c>
      <c r="D471" s="4" t="s">
        <v>65</v>
      </c>
      <c r="E471" s="4">
        <v>2.0</v>
      </c>
    </row>
    <row r="472" ht="15.75" customHeight="1">
      <c r="A472" s="4" t="s">
        <v>38</v>
      </c>
      <c r="C472" s="4" t="s">
        <v>44</v>
      </c>
      <c r="D472" s="4" t="s">
        <v>66</v>
      </c>
      <c r="E472" s="4">
        <v>2.0</v>
      </c>
    </row>
    <row r="473" ht="15.75" customHeight="1">
      <c r="A473" s="4" t="s">
        <v>38</v>
      </c>
      <c r="C473" s="4" t="s">
        <v>44</v>
      </c>
      <c r="D473" s="4" t="s">
        <v>67</v>
      </c>
      <c r="E473" s="4">
        <v>2.0</v>
      </c>
    </row>
    <row r="474" ht="15.75" customHeight="1">
      <c r="A474" s="4" t="s">
        <v>38</v>
      </c>
      <c r="C474" s="4" t="s">
        <v>44</v>
      </c>
      <c r="D474" s="4" t="s">
        <v>68</v>
      </c>
      <c r="E474" s="4">
        <v>1.2</v>
      </c>
    </row>
    <row r="475" ht="15.75" customHeight="1">
      <c r="A475" s="4" t="s">
        <v>38</v>
      </c>
      <c r="C475" s="4" t="s">
        <v>44</v>
      </c>
      <c r="D475" s="4" t="s">
        <v>69</v>
      </c>
      <c r="E475" s="4">
        <v>0.8</v>
      </c>
    </row>
    <row r="476" ht="15.75" customHeight="1">
      <c r="A476" s="4" t="s">
        <v>38</v>
      </c>
      <c r="B476" s="4">
        <v>7.0</v>
      </c>
      <c r="C476" s="4" t="s">
        <v>47</v>
      </c>
      <c r="D476" s="9" t="s">
        <v>70</v>
      </c>
      <c r="E476" s="4">
        <v>7.0</v>
      </c>
    </row>
    <row r="477" ht="15.75" customHeight="1">
      <c r="A477" s="4" t="s">
        <v>38</v>
      </c>
      <c r="C477" s="4" t="s">
        <v>44</v>
      </c>
      <c r="D477" s="4" t="s">
        <v>71</v>
      </c>
      <c r="E477" s="4">
        <v>5.0</v>
      </c>
    </row>
    <row r="478" ht="15.75" customHeight="1">
      <c r="A478" s="4" t="s">
        <v>38</v>
      </c>
      <c r="C478" s="4" t="s">
        <v>44</v>
      </c>
      <c r="D478" s="4" t="s">
        <v>72</v>
      </c>
      <c r="E478" s="4">
        <v>2.0</v>
      </c>
    </row>
    <row r="479" ht="15.75" customHeight="1">
      <c r="A479" s="4" t="s">
        <v>38</v>
      </c>
      <c r="B479" s="4">
        <v>8.0</v>
      </c>
      <c r="C479" s="4" t="s">
        <v>47</v>
      </c>
      <c r="D479" s="9" t="s">
        <v>73</v>
      </c>
      <c r="E479" s="4">
        <v>8.0</v>
      </c>
    </row>
    <row r="480" ht="15.75" customHeight="1">
      <c r="A480" s="4" t="s">
        <v>38</v>
      </c>
      <c r="C480" s="4" t="s">
        <v>44</v>
      </c>
      <c r="D480" s="4" t="s">
        <v>74</v>
      </c>
      <c r="E480" s="4">
        <v>6.0</v>
      </c>
    </row>
    <row r="481" ht="15.75" customHeight="1">
      <c r="A481" s="4" t="s">
        <v>38</v>
      </c>
      <c r="C481" s="4" t="s">
        <v>44</v>
      </c>
      <c r="D481" s="4" t="s">
        <v>75</v>
      </c>
      <c r="E481" s="4">
        <v>2.0</v>
      </c>
    </row>
    <row r="482" ht="15.75" customHeight="1">
      <c r="A482" s="4" t="s">
        <v>38</v>
      </c>
      <c r="B482" s="4">
        <v>9.0</v>
      </c>
      <c r="C482" s="4" t="s">
        <v>47</v>
      </c>
      <c r="D482" s="9" t="s">
        <v>76</v>
      </c>
      <c r="E482" s="4">
        <v>6.0</v>
      </c>
    </row>
    <row r="483" ht="15.75" customHeight="1">
      <c r="A483" s="4" t="s">
        <v>38</v>
      </c>
      <c r="C483" s="4" t="s">
        <v>44</v>
      </c>
      <c r="D483" s="4" t="s">
        <v>77</v>
      </c>
      <c r="E483" s="4">
        <v>2.0</v>
      </c>
    </row>
    <row r="484" ht="15.75" customHeight="1">
      <c r="A484" s="4" t="s">
        <v>38</v>
      </c>
      <c r="C484" s="4" t="s">
        <v>44</v>
      </c>
      <c r="D484" s="4" t="s">
        <v>78</v>
      </c>
      <c r="E484" s="4">
        <v>2.0</v>
      </c>
    </row>
    <row r="485" ht="15.75" customHeight="1">
      <c r="A485" s="4" t="s">
        <v>38</v>
      </c>
      <c r="C485" s="4" t="s">
        <v>44</v>
      </c>
      <c r="D485" s="4" t="s">
        <v>79</v>
      </c>
      <c r="E485" s="4">
        <v>2.0</v>
      </c>
    </row>
    <row r="486" ht="15.75" customHeight="1">
      <c r="A486" s="4" t="s">
        <v>38</v>
      </c>
      <c r="B486" s="4">
        <v>10.0</v>
      </c>
      <c r="C486" s="4" t="s">
        <v>47</v>
      </c>
      <c r="D486" s="9" t="s">
        <v>80</v>
      </c>
      <c r="E486" s="4">
        <v>7.0</v>
      </c>
    </row>
    <row r="487" ht="15.75" customHeight="1">
      <c r="A487" s="4" t="s">
        <v>38</v>
      </c>
      <c r="C487" s="4" t="s">
        <v>44</v>
      </c>
      <c r="D487" s="4" t="s">
        <v>81</v>
      </c>
      <c r="E487" s="4">
        <v>3.0</v>
      </c>
    </row>
    <row r="488" ht="15.75" customHeight="1">
      <c r="A488" s="4" t="s">
        <v>38</v>
      </c>
      <c r="C488" s="4" t="s">
        <v>44</v>
      </c>
      <c r="D488" s="4" t="s">
        <v>82</v>
      </c>
      <c r="E488" s="4">
        <v>2.0</v>
      </c>
    </row>
    <row r="489" ht="15.75" customHeight="1">
      <c r="A489" s="4" t="s">
        <v>38</v>
      </c>
      <c r="C489" s="4" t="s">
        <v>44</v>
      </c>
      <c r="D489" s="4" t="s">
        <v>83</v>
      </c>
      <c r="E489" s="4">
        <v>2.0</v>
      </c>
    </row>
    <row r="490" ht="15.75" customHeight="1">
      <c r="A490" s="4" t="s">
        <v>38</v>
      </c>
      <c r="B490" s="11">
        <v>11.0</v>
      </c>
      <c r="C490" s="4" t="s">
        <v>47</v>
      </c>
      <c r="D490" s="9" t="s">
        <v>84</v>
      </c>
      <c r="E490" s="11">
        <v>4.0</v>
      </c>
    </row>
    <row r="491" ht="15.75" customHeight="1">
      <c r="A491" s="4" t="s">
        <v>38</v>
      </c>
      <c r="C491" s="4" t="b">
        <v>0</v>
      </c>
      <c r="D491" s="11" t="s">
        <v>85</v>
      </c>
      <c r="E491" s="11">
        <v>2.0</v>
      </c>
    </row>
    <row r="492" ht="15.75" customHeight="1">
      <c r="A492" s="4" t="s">
        <v>38</v>
      </c>
      <c r="C492" s="4" t="s">
        <v>44</v>
      </c>
      <c r="D492" s="11" t="s">
        <v>86</v>
      </c>
      <c r="E492" s="11">
        <v>2.0</v>
      </c>
    </row>
    <row r="493" ht="15.75" customHeight="1">
      <c r="A493" s="4" t="s">
        <v>38</v>
      </c>
      <c r="B493" s="11">
        <v>12.0</v>
      </c>
      <c r="C493" s="4" t="s">
        <v>47</v>
      </c>
      <c r="D493" s="9" t="s">
        <v>87</v>
      </c>
    </row>
    <row r="494" ht="15.75" customHeight="1">
      <c r="A494" s="4" t="s">
        <v>38</v>
      </c>
      <c r="C494" s="4" t="s">
        <v>44</v>
      </c>
      <c r="D494" s="11" t="s">
        <v>88</v>
      </c>
    </row>
    <row r="495" ht="15.75" customHeight="1">
      <c r="A495" s="4" t="s">
        <v>38</v>
      </c>
      <c r="C495" s="4" t="s">
        <v>44</v>
      </c>
      <c r="D495" s="11" t="s">
        <v>89</v>
      </c>
    </row>
    <row r="496" ht="15.75" customHeight="1">
      <c r="A496" s="4" t="s">
        <v>38</v>
      </c>
      <c r="C496" s="4" t="s">
        <v>44</v>
      </c>
      <c r="D496" s="11" t="s">
        <v>90</v>
      </c>
    </row>
    <row r="497" ht="15.75" customHeight="1">
      <c r="A497" s="4" t="s">
        <v>39</v>
      </c>
      <c r="B497" s="4">
        <v>1.0</v>
      </c>
      <c r="C497" s="4" t="s">
        <v>44</v>
      </c>
      <c r="D497" s="4" t="s">
        <v>45</v>
      </c>
      <c r="E497" s="4">
        <v>14.0</v>
      </c>
    </row>
    <row r="498" ht="15.75" customHeight="1">
      <c r="A498" s="4" t="s">
        <v>39</v>
      </c>
      <c r="B498" s="4">
        <v>2.0</v>
      </c>
      <c r="C498" s="4" t="s">
        <v>44</v>
      </c>
      <c r="D498" s="4" t="s">
        <v>46</v>
      </c>
      <c r="E498" s="4">
        <v>12.0</v>
      </c>
    </row>
    <row r="499" ht="15.75" customHeight="1">
      <c r="A499" s="4" t="s">
        <v>39</v>
      </c>
      <c r="B499" s="4">
        <v>3.0</v>
      </c>
      <c r="C499" s="4" t="s">
        <v>47</v>
      </c>
      <c r="D499" s="9" t="s">
        <v>48</v>
      </c>
      <c r="E499" s="4">
        <v>14.0</v>
      </c>
    </row>
    <row r="500" ht="15.75" customHeight="1">
      <c r="A500" s="4" t="s">
        <v>39</v>
      </c>
      <c r="C500" s="4" t="s">
        <v>44</v>
      </c>
      <c r="D500" s="4" t="s">
        <v>49</v>
      </c>
      <c r="E500" s="4">
        <v>6.0</v>
      </c>
    </row>
    <row r="501" ht="15.75" customHeight="1">
      <c r="A501" s="4" t="s">
        <v>39</v>
      </c>
      <c r="C501" s="4" t="s">
        <v>44</v>
      </c>
      <c r="D501" s="4" t="s">
        <v>50</v>
      </c>
      <c r="E501" s="4">
        <v>6.0</v>
      </c>
    </row>
    <row r="502" ht="15.75" customHeight="1">
      <c r="A502" s="4" t="s">
        <v>39</v>
      </c>
      <c r="C502" s="4" t="s">
        <v>44</v>
      </c>
      <c r="D502" s="4" t="s">
        <v>51</v>
      </c>
      <c r="E502" s="4">
        <v>2.0</v>
      </c>
    </row>
    <row r="503" ht="15.75" customHeight="1">
      <c r="A503" s="4" t="s">
        <v>39</v>
      </c>
      <c r="B503" s="4">
        <v>4.0</v>
      </c>
      <c r="C503" s="4" t="s">
        <v>47</v>
      </c>
      <c r="D503" s="9" t="s">
        <v>52</v>
      </c>
      <c r="E503" s="4">
        <v>10.0</v>
      </c>
    </row>
    <row r="504" ht="15.75" customHeight="1">
      <c r="A504" s="4" t="s">
        <v>39</v>
      </c>
      <c r="C504" s="4" t="s">
        <v>44</v>
      </c>
      <c r="D504" s="4" t="s">
        <v>53</v>
      </c>
      <c r="E504" s="4">
        <v>5.0</v>
      </c>
    </row>
    <row r="505" ht="15.75" customHeight="1">
      <c r="A505" s="4" t="s">
        <v>39</v>
      </c>
      <c r="C505" s="4" t="s">
        <v>44</v>
      </c>
      <c r="D505" s="4" t="s">
        <v>54</v>
      </c>
    </row>
    <row r="506" ht="15.75" customHeight="1">
      <c r="A506" s="4" t="s">
        <v>39</v>
      </c>
      <c r="C506" s="4" t="s">
        <v>44</v>
      </c>
      <c r="D506" s="4" t="s">
        <v>55</v>
      </c>
    </row>
    <row r="507" ht="15.75" customHeight="1">
      <c r="A507" s="4" t="s">
        <v>39</v>
      </c>
      <c r="C507" s="4" t="s">
        <v>44</v>
      </c>
      <c r="D507" s="4" t="s">
        <v>56</v>
      </c>
    </row>
    <row r="508" ht="15.75" customHeight="1">
      <c r="A508" s="4" t="s">
        <v>39</v>
      </c>
      <c r="C508" s="4" t="s">
        <v>44</v>
      </c>
      <c r="D508" s="4" t="s">
        <v>57</v>
      </c>
      <c r="E508" s="4">
        <v>5.0</v>
      </c>
    </row>
    <row r="509" ht="15.75" customHeight="1">
      <c r="A509" s="4" t="s">
        <v>39</v>
      </c>
      <c r="B509" s="4">
        <v>5.0</v>
      </c>
      <c r="C509" s="4" t="s">
        <v>47</v>
      </c>
      <c r="D509" s="9" t="s">
        <v>58</v>
      </c>
      <c r="E509" s="4">
        <v>10.0</v>
      </c>
    </row>
    <row r="510" ht="15.75" customHeight="1">
      <c r="A510" s="4" t="s">
        <v>39</v>
      </c>
      <c r="C510" s="4" t="s">
        <v>44</v>
      </c>
      <c r="D510" s="4" t="s">
        <v>59</v>
      </c>
      <c r="E510" s="4">
        <v>0.5</v>
      </c>
    </row>
    <row r="511" ht="15.75" customHeight="1">
      <c r="A511" s="4" t="s">
        <v>39</v>
      </c>
      <c r="C511" s="4" t="s">
        <v>44</v>
      </c>
      <c r="D511" s="4" t="s">
        <v>60</v>
      </c>
      <c r="E511" s="4">
        <v>1.5</v>
      </c>
    </row>
    <row r="512" ht="15.75" customHeight="1">
      <c r="A512" s="4" t="s">
        <v>39</v>
      </c>
      <c r="C512" s="4" t="s">
        <v>44</v>
      </c>
      <c r="D512" s="4" t="s">
        <v>61</v>
      </c>
      <c r="E512" s="4">
        <v>2.0</v>
      </c>
    </row>
    <row r="513" ht="15.75" customHeight="1">
      <c r="A513" s="4" t="s">
        <v>39</v>
      </c>
      <c r="C513" s="4" t="s">
        <v>44</v>
      </c>
      <c r="D513" s="4" t="s">
        <v>62</v>
      </c>
      <c r="E513" s="4">
        <v>4.0</v>
      </c>
    </row>
    <row r="514" ht="15.75" customHeight="1">
      <c r="A514" s="4" t="s">
        <v>39</v>
      </c>
      <c r="C514" s="4" t="s">
        <v>44</v>
      </c>
      <c r="D514" s="4" t="s">
        <v>63</v>
      </c>
      <c r="E514" s="4">
        <v>2.0</v>
      </c>
    </row>
    <row r="515" ht="15.75" customHeight="1">
      <c r="A515" s="4" t="s">
        <v>39</v>
      </c>
      <c r="B515" s="4">
        <v>6.0</v>
      </c>
      <c r="C515" s="4" t="s">
        <v>47</v>
      </c>
      <c r="D515" s="9" t="s">
        <v>64</v>
      </c>
      <c r="E515" s="4">
        <v>8.0</v>
      </c>
    </row>
    <row r="516" ht="15.75" customHeight="1">
      <c r="A516" s="4" t="s">
        <v>39</v>
      </c>
      <c r="C516" s="4" t="s">
        <v>44</v>
      </c>
      <c r="D516" s="4" t="s">
        <v>65</v>
      </c>
      <c r="E516" s="4">
        <v>2.0</v>
      </c>
    </row>
    <row r="517" ht="15.75" customHeight="1">
      <c r="A517" s="4" t="s">
        <v>39</v>
      </c>
      <c r="C517" s="4" t="s">
        <v>44</v>
      </c>
      <c r="D517" s="4" t="s">
        <v>66</v>
      </c>
      <c r="E517" s="4">
        <v>2.0</v>
      </c>
    </row>
    <row r="518" ht="15.75" customHeight="1">
      <c r="A518" s="4" t="s">
        <v>39</v>
      </c>
      <c r="C518" s="4" t="s">
        <v>44</v>
      </c>
      <c r="D518" s="4" t="s">
        <v>67</v>
      </c>
      <c r="E518" s="4">
        <v>2.0</v>
      </c>
    </row>
    <row r="519" ht="15.75" customHeight="1">
      <c r="A519" s="4" t="s">
        <v>39</v>
      </c>
      <c r="C519" s="4" t="s">
        <v>44</v>
      </c>
      <c r="D519" s="4" t="s">
        <v>68</v>
      </c>
      <c r="E519" s="4">
        <v>1.2</v>
      </c>
    </row>
    <row r="520" ht="15.75" customHeight="1">
      <c r="A520" s="4" t="s">
        <v>39</v>
      </c>
      <c r="C520" s="4" t="s">
        <v>44</v>
      </c>
      <c r="D520" s="4" t="s">
        <v>69</v>
      </c>
      <c r="E520" s="4">
        <v>0.8</v>
      </c>
    </row>
    <row r="521" ht="15.75" customHeight="1">
      <c r="A521" s="4" t="s">
        <v>39</v>
      </c>
      <c r="B521" s="4">
        <v>7.0</v>
      </c>
      <c r="C521" s="4" t="s">
        <v>47</v>
      </c>
      <c r="D521" s="9" t="s">
        <v>70</v>
      </c>
      <c r="E521" s="4">
        <v>7.0</v>
      </c>
    </row>
    <row r="522" ht="15.75" customHeight="1">
      <c r="A522" s="4" t="s">
        <v>39</v>
      </c>
      <c r="C522" s="4" t="s">
        <v>44</v>
      </c>
      <c r="D522" s="4" t="s">
        <v>71</v>
      </c>
      <c r="E522" s="4">
        <v>5.0</v>
      </c>
    </row>
    <row r="523" ht="15.75" customHeight="1">
      <c r="A523" s="4" t="s">
        <v>39</v>
      </c>
      <c r="C523" s="4" t="s">
        <v>44</v>
      </c>
      <c r="D523" s="4" t="s">
        <v>72</v>
      </c>
      <c r="E523" s="4">
        <v>2.0</v>
      </c>
    </row>
    <row r="524" ht="15.75" customHeight="1">
      <c r="A524" s="4" t="s">
        <v>39</v>
      </c>
      <c r="B524" s="4">
        <v>8.0</v>
      </c>
      <c r="C524" s="4" t="s">
        <v>47</v>
      </c>
      <c r="D524" s="9" t="s">
        <v>73</v>
      </c>
      <c r="E524" s="4">
        <v>8.0</v>
      </c>
    </row>
    <row r="525" ht="15.75" customHeight="1">
      <c r="A525" s="4" t="s">
        <v>39</v>
      </c>
      <c r="C525" s="4" t="s">
        <v>44</v>
      </c>
      <c r="D525" s="4" t="s">
        <v>74</v>
      </c>
      <c r="E525" s="4">
        <v>6.0</v>
      </c>
    </row>
    <row r="526" ht="15.75" customHeight="1">
      <c r="A526" s="4" t="s">
        <v>39</v>
      </c>
      <c r="C526" s="4" t="s">
        <v>44</v>
      </c>
      <c r="D526" s="4" t="s">
        <v>75</v>
      </c>
      <c r="E526" s="4">
        <v>2.0</v>
      </c>
    </row>
    <row r="527" ht="15.75" customHeight="1">
      <c r="A527" s="4" t="s">
        <v>39</v>
      </c>
      <c r="B527" s="4">
        <v>9.0</v>
      </c>
      <c r="C527" s="4" t="s">
        <v>47</v>
      </c>
      <c r="D527" s="9" t="s">
        <v>76</v>
      </c>
      <c r="E527" s="4">
        <v>6.0</v>
      </c>
    </row>
    <row r="528" ht="15.75" customHeight="1">
      <c r="A528" s="4" t="s">
        <v>39</v>
      </c>
      <c r="C528" s="4" t="s">
        <v>44</v>
      </c>
      <c r="D528" s="4" t="s">
        <v>77</v>
      </c>
      <c r="E528" s="4">
        <v>2.0</v>
      </c>
    </row>
    <row r="529" ht="15.75" customHeight="1">
      <c r="A529" s="4" t="s">
        <v>39</v>
      </c>
      <c r="C529" s="4" t="s">
        <v>44</v>
      </c>
      <c r="D529" s="4" t="s">
        <v>78</v>
      </c>
      <c r="E529" s="4">
        <v>2.0</v>
      </c>
    </row>
    <row r="530" ht="15.75" customHeight="1">
      <c r="A530" s="4" t="s">
        <v>39</v>
      </c>
      <c r="C530" s="4" t="s">
        <v>44</v>
      </c>
      <c r="D530" s="4" t="s">
        <v>79</v>
      </c>
      <c r="E530" s="4">
        <v>2.0</v>
      </c>
    </row>
    <row r="531" ht="15.75" customHeight="1">
      <c r="A531" s="4" t="s">
        <v>39</v>
      </c>
      <c r="B531" s="4">
        <v>10.0</v>
      </c>
      <c r="C531" s="4" t="s">
        <v>47</v>
      </c>
      <c r="D531" s="9" t="s">
        <v>80</v>
      </c>
      <c r="E531" s="4">
        <v>7.0</v>
      </c>
    </row>
    <row r="532" ht="15.75" customHeight="1">
      <c r="A532" s="4" t="s">
        <v>39</v>
      </c>
      <c r="C532" s="4" t="s">
        <v>44</v>
      </c>
      <c r="D532" s="4" t="s">
        <v>81</v>
      </c>
      <c r="E532" s="4">
        <v>3.0</v>
      </c>
    </row>
    <row r="533" ht="15.75" customHeight="1">
      <c r="A533" s="4" t="s">
        <v>39</v>
      </c>
      <c r="C533" s="4" t="s">
        <v>44</v>
      </c>
      <c r="D533" s="4" t="s">
        <v>82</v>
      </c>
      <c r="E533" s="4">
        <v>2.0</v>
      </c>
    </row>
    <row r="534" ht="15.75" customHeight="1">
      <c r="A534" s="4" t="s">
        <v>39</v>
      </c>
      <c r="C534" s="4" t="s">
        <v>44</v>
      </c>
      <c r="D534" s="4" t="s">
        <v>83</v>
      </c>
      <c r="E534" s="4">
        <v>2.0</v>
      </c>
    </row>
    <row r="535" ht="15.75" customHeight="1">
      <c r="A535" s="4" t="s">
        <v>39</v>
      </c>
      <c r="B535" s="11">
        <v>11.0</v>
      </c>
      <c r="C535" s="4" t="s">
        <v>47</v>
      </c>
      <c r="D535" s="9" t="s">
        <v>84</v>
      </c>
      <c r="E535" s="11">
        <v>4.0</v>
      </c>
    </row>
    <row r="536" ht="15.75" customHeight="1">
      <c r="A536" s="4" t="s">
        <v>39</v>
      </c>
      <c r="C536" s="4" t="b">
        <v>0</v>
      </c>
      <c r="D536" s="11" t="s">
        <v>85</v>
      </c>
      <c r="E536" s="11">
        <v>2.0</v>
      </c>
    </row>
    <row r="537" ht="15.75" customHeight="1">
      <c r="A537" s="4" t="s">
        <v>39</v>
      </c>
      <c r="C537" s="4" t="s">
        <v>44</v>
      </c>
      <c r="D537" s="11" t="s">
        <v>86</v>
      </c>
      <c r="E537" s="11">
        <v>2.0</v>
      </c>
    </row>
    <row r="538" ht="15.75" customHeight="1">
      <c r="A538" s="4" t="s">
        <v>39</v>
      </c>
      <c r="B538" s="11">
        <v>12.0</v>
      </c>
      <c r="C538" s="4" t="s">
        <v>47</v>
      </c>
      <c r="D538" s="9" t="s">
        <v>87</v>
      </c>
    </row>
    <row r="539" ht="15.75" customHeight="1">
      <c r="A539" s="4" t="s">
        <v>39</v>
      </c>
      <c r="C539" s="4" t="s">
        <v>44</v>
      </c>
      <c r="D539" s="11" t="s">
        <v>88</v>
      </c>
    </row>
    <row r="540" ht="15.75" customHeight="1">
      <c r="A540" s="4" t="s">
        <v>39</v>
      </c>
      <c r="C540" s="4" t="s">
        <v>44</v>
      </c>
      <c r="D540" s="11" t="s">
        <v>89</v>
      </c>
    </row>
    <row r="541" ht="15.75" customHeight="1">
      <c r="A541" s="4" t="s">
        <v>39</v>
      </c>
      <c r="C541" s="4" t="s">
        <v>44</v>
      </c>
      <c r="D541" s="11" t="s">
        <v>90</v>
      </c>
    </row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2026-07-13T09:34:45Z</dcterms:created>
  <dc:creator>openpyxl</dc:creator>
</cp:coreProperties>
</file>