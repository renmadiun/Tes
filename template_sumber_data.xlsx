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visible" name="NKO" sheetId="2" r:id="rId6"/>
    <sheet state="visible" name="INDIKATOR" sheetId="3" r:id="rId7"/>
    <sheet state="visible" name="UP3" sheetId="4" r:id="rId8"/>
  </sheets>
  <definedNames/>
  <calcPr/>
</workbook>
</file>

<file path=xl/sharedStrings.xml><?xml version="1.0" encoding="utf-8"?>
<sst xmlns="http://schemas.openxmlformats.org/spreadsheetml/2006/main" count="1999" uniqueCount="210">
  <si>
    <t>BULAN</t>
  </si>
  <si>
    <t>PETUNJUK PENGISIAN TEMPLATE</t>
  </si>
  <si>
    <t>NO</t>
  </si>
  <si>
    <t>GROUP</t>
  </si>
  <si>
    <t>NAMA</t>
  </si>
  <si>
    <t>MDK</t>
  </si>
  <si>
    <t>BOBOT</t>
  </si>
  <si>
    <t>MGT</t>
  </si>
  <si>
    <t>NGW</t>
  </si>
  <si>
    <t>MPT</t>
  </si>
  <si>
    <t>CRB</t>
  </si>
  <si>
    <t>DLP</t>
  </si>
  <si>
    <t>MTN</t>
  </si>
  <si>
    <t>1. Sheet 'NKO' -&gt; isi skor NKO tiap ULP per bulan.</t>
  </si>
  <si>
    <t>UP3</t>
  </si>
  <si>
    <t xml:space="preserve">   Kosongkan sel bulan yang belum ada realisasinya (dashboard otomatis</t>
  </si>
  <si>
    <t>JAN</t>
  </si>
  <si>
    <t>REALISASI KINERJA UP3 MADIUN
JUN TAHUN 2026</t>
  </si>
  <si>
    <t xml:space="preserve">   membuat proyeksi untuk bulan yang masih kosong).</t>
  </si>
  <si>
    <t>2. Sheet 'INDIKATOR' -&gt; isi pencapaian tiap indikator per ULP, PER BULAN.</t>
  </si>
  <si>
    <t xml:space="preserve">   Setiap bulan punya blok barisnya sendiri (kolom BULAN), persis seperti</t>
  </si>
  <si>
    <t>FALSE</t>
  </si>
  <si>
    <t xml:space="preserve">   cara kerja sheet NKO. Definisi indikator (NO/GROUP/NAMA/BOBOT) sudah</t>
  </si>
  <si>
    <t>Penjualan Tenaga Listrik</t>
  </si>
  <si>
    <t xml:space="preserve">   disalin otomatis ke semua blok bulan -&gt; Anda tinggal isi angka ULP-nya saja.</t>
  </si>
  <si>
    <t xml:space="preserve">   Baris dengan GROUP=TRUE adalah judul kelompok (tidak diisi angka).</t>
  </si>
  <si>
    <t>FEB</t>
  </si>
  <si>
    <t xml:space="preserve">   Kosongkan blok bulan yang belum ada realisasinya -&gt; dashboard akan</t>
  </si>
  <si>
    <t xml:space="preserve">   menampilkan bulan tsb sebagai putus-putus/kosong pada grafik tren indikator.</t>
  </si>
  <si>
    <t>3. Setelah data diisi, gunakan menu:</t>
  </si>
  <si>
    <t xml:space="preserve">   File &gt; Share &gt; Publish to web</t>
  </si>
  <si>
    <t xml:space="preserve">   Pilih sheet 'NKO' -&gt; format CSV -&gt; Publish -&gt; salin link-nya.</t>
  </si>
  <si>
    <t xml:space="preserve">   Ulangi untuk sheet 'INDIKATOR'.</t>
  </si>
  <si>
    <t>4. Tempel kedua link tersebut ke file config.js pada repo GitHub dashboard.</t>
  </si>
  <si>
    <t>5. Setiap bulan: tambahkan blok BULAN baru (atau isi blok bulan yang sudah</t>
  </si>
  <si>
    <t xml:space="preserve">   tersedia) di sheet INDIKATOR, dan isi 1 kolom baru di sheet NKO.</t>
  </si>
  <si>
    <t xml:space="preserve">   Dashboard otomatis menampilkan data terbaru saat dibuka.</t>
  </si>
  <si>
    <t>MAR</t>
  </si>
  <si>
    <t>APR</t>
  </si>
  <si>
    <t>MAY</t>
  </si>
  <si>
    <t>Susut Distribusi Tanpa E-min (sesuai kewenangan)</t>
  </si>
  <si>
    <t>JUN</t>
  </si>
  <si>
    <t>JUL</t>
  </si>
  <si>
    <t>AUG</t>
  </si>
  <si>
    <t>SEP</t>
  </si>
  <si>
    <t>OCT</t>
  </si>
  <si>
    <t>NOV</t>
  </si>
  <si>
    <t>DEC</t>
  </si>
  <si>
    <t>TRUE</t>
  </si>
  <si>
    <t>Keandalan Sistem</t>
  </si>
  <si>
    <t>TARGET</t>
  </si>
  <si>
    <t>a. SAIDI (sesuai kewenangan)</t>
  </si>
  <si>
    <t>REALISASI</t>
  </si>
  <si>
    <t>b. SAIFI (sesuai kewenangan)</t>
  </si>
  <si>
    <t>PENCAPAIAN</t>
  </si>
  <si>
    <t>c. ENS (sesuai kewenangan)</t>
  </si>
  <si>
    <t>NKO</t>
  </si>
  <si>
    <t>INDIKATOR KINERJA</t>
  </si>
  <si>
    <t>POLARITAS</t>
  </si>
  <si>
    <t>FORMULA</t>
  </si>
  <si>
    <t>SATUAN</t>
  </si>
  <si>
    <t>TARGET SEMESTER 1</t>
  </si>
  <si>
    <t>Penyelesaian Eksekusi RUPTL dan Investasi</t>
  </si>
  <si>
    <t>TARGET 2026</t>
  </si>
  <si>
    <t>a. Penambahan Aset RUPTL</t>
  </si>
  <si>
    <t>NILAI</t>
  </si>
  <si>
    <t>TRW 1</t>
  </si>
  <si>
    <t>TRW 2</t>
  </si>
  <si>
    <t>TRW 3</t>
  </si>
  <si>
    <t>TRW 4</t>
  </si>
  <si>
    <t>- Penambahan JTM</t>
  </si>
  <si>
    <t>I</t>
  </si>
  <si>
    <t>II</t>
  </si>
  <si>
    <t>- Penambahan JTR</t>
  </si>
  <si>
    <t>- Penambahan Trafo</t>
  </si>
  <si>
    <t>b. Penambahan Aset Penyelesaian Fisik Investasi</t>
  </si>
  <si>
    <t>Percepatan Penyambungan Pelanggan</t>
  </si>
  <si>
    <t>Total penjualan tenaga listrik</t>
  </si>
  <si>
    <t>GWh</t>
  </si>
  <si>
    <t>a.1. Jumlah Penambahan Pelanggan</t>
  </si>
  <si>
    <t>Masalah</t>
  </si>
  <si>
    <t>a.2. Penambahan Daya Tersambung</t>
  </si>
  <si>
    <t>b. Pendapatan Biaya Penyambungan</t>
  </si>
  <si>
    <t>c. Penambahan Jumlah Pelanggan Lisdes</t>
  </si>
  <si>
    <t>d. Peningkatan kWh Penjualan dari Pelanggan Lisdes</t>
  </si>
  <si>
    <t>Peningkatan Pelayanan Pelanggan</t>
  </si>
  <si>
    <t>a. Feedback Rating Negatif pada PLN Mobile - Gangguan</t>
  </si>
  <si>
    <t>b. Response Time atas Gangguan (diluar Clear Tamper)</t>
  </si>
  <si>
    <t>c. Success Rate Auto Dispatch Gangguan Individual (diluar Clear Tamper)</t>
  </si>
  <si>
    <t>d.1. Total Kali Transaksi Keuangan di PLN Mobile (seluruh Pelanggan PLN)</t>
  </si>
  <si>
    <t>((Siap Salur Distribusi sesuai kewenangan titik transaksi - kWh kirim ke Unit lain - PSSD - kWh penjualan tanpa E-min) / (Produksi Total Netto)) x100%</t>
  </si>
  <si>
    <t>%</t>
  </si>
  <si>
    <t>d.2. Total Rupiah Transaksi di PLN Mobile</t>
  </si>
  <si>
    <t>Baik</t>
  </si>
  <si>
    <t>Keandalan JTM</t>
  </si>
  <si>
    <t>a. Gangguan TM (sesuai kewenangan)</t>
  </si>
  <si>
    <t>b. Kerusakan Peralatan Distribusi (sesuai kewenangan)</t>
  </si>
  <si>
    <t>Emergency Response Time (ERT) Distribusi</t>
  </si>
  <si>
    <t>a. MVOD (sesuai kewenangan)</t>
  </si>
  <si>
    <t>b. MTTR Siaga 1 TM (sesuai kewenangan)</t>
  </si>
  <si>
    <t>13,2</t>
  </si>
  <si>
    <t>Management Cash In :</t>
  </si>
  <si>
    <t>a. Pencapaian Saldo Rata-Rata Akhir Bulan diluar Konsumen Instansi (Kementerian &amp; Lembaga)</t>
  </si>
  <si>
    <t>b. Pencapaian Pelunasan PRR</t>
  </si>
  <si>
    <t>c. Usulan Penghapusan PRR</t>
  </si>
  <si>
    <t>(∑ (Lama padam x ∑ Pelanggan Padam)) / ∑ Pelanggan Dalam Satu Periode</t>
  </si>
  <si>
    <t>menit/plg</t>
  </si>
  <si>
    <t>Pengelolaan Transaksi Energi</t>
  </si>
  <si>
    <t>a. Perolehan kWh P2TL</t>
  </si>
  <si>
    <t>b. Penyelesaian Ganti Meter</t>
  </si>
  <si>
    <t>c. Tindak Lanjut LBKB (Laporan Bulanan Kelainan Baca Meter)</t>
  </si>
  <si>
    <t>Digitalisasi Aplikasi Korporat</t>
  </si>
  <si>
    <t>a. Pengembangan Aset Distribusi</t>
  </si>
  <si>
    <t>b. Efektivitas Pemeliharaan</t>
  </si>
  <si>
    <t>5,5</t>
  </si>
  <si>
    <t>(∑ (Kali padam x ∑ Pelanggan Padam)) / ∑ Pelanggan Dalam Satu Periode</t>
  </si>
  <si>
    <t>kali/plg</t>
  </si>
  <si>
    <t>Kepatuhan, Maturity Level dan Tata Kelola Perusahaan</t>
  </si>
  <si>
    <t>a. Implementasi Maturity Level</t>
  </si>
  <si>
    <t>b. Kepatuhan</t>
  </si>
  <si>
    <t>c. Tata Kelola Perusahaan</t>
  </si>
  <si>
    <t>∑ Total Energi yang tidak dapat disalurkan</t>
  </si>
  <si>
    <t>MWh</t>
  </si>
  <si>
    <t>2,2</t>
  </si>
  <si>
    <t>(∑ {Penambahan Aset di EAM Maximo Bulan Berjalan PRK Murni dan Lanjutan} / ∑ {Target Penambahan Aset JTM (kms), JTR (kms), dan Trafo (MVA) pada RUPTL Tahun Berjalan}) x 100%</t>
  </si>
  <si>
    <t>(∑ {Penambahan Aset di EAM Maximo sesuai Progress Fisik Investasi bulan berjalan} / (∑ {Volume Tahun PRK Berjalan AI Lanjutan dan AI Murni}) x 100%</t>
  </si>
  <si>
    <t>a. Jumlah Penambahan Pelanggan dan Penambahan Daya Tersambung</t>
  </si>
  <si>
    <t>1. Total Jumlah Penambahan Pelanggan
2. Total Penambahan Daya Tersambung</t>
  </si>
  <si>
    <t>1. Pelanggan
2. MVA</t>
  </si>
  <si>
    <t>0,5</t>
  </si>
  <si>
    <t>1,5</t>
  </si>
  <si>
    <t>1,65</t>
  </si>
  <si>
    <t>Pendapatan Biaya Pasang Baru dan Tambah Daya pada periode berjalan</t>
  </si>
  <si>
    <t>Rp Miliar</t>
  </si>
  <si>
    <t>Jumlah Penambahan Pelanggan Lisdes dari Program Lisdes pada periode berjalan</t>
  </si>
  <si>
    <t>Pelanggan</t>
  </si>
  <si>
    <t>4,4</t>
  </si>
  <si>
    <t>Jumlah kWh penjualan Pelanggan Lisdes dari program lisdes pada periode berjalan</t>
  </si>
  <si>
    <t>kWh</t>
  </si>
  <si>
    <t>8,8</t>
  </si>
  <si>
    <t>∑ Feedback Rating Negatif Gangguan pada PLN Mobile</t>
  </si>
  <si>
    <t>Kali</t>
  </si>
  <si>
    <t>∑ Durasi Response Time atas Gangguan kode G diluar clear temper / ∑ Total WO Gangguan kode G di APKT diluar clear temper
Realisasi menggunakan Rata-rata bulanan sesuai Juknis</t>
  </si>
  <si>
    <t>Menit</t>
  </si>
  <si>
    <t>(∑ Kali Auto Dispatch sukses / (∑ Total WO PLN Mobile - ∑ WO Marking Padam Meluas)) x 100%
Realisasi menggunakan Rata-rata bulanan sesuai Juknis</t>
  </si>
  <si>
    <t>17,03</t>
  </si>
  <si>
    <t>d. Jumlah Kali Transaksi Keuangan melalui PLN Mobile</t>
  </si>
  <si>
    <t>1. Total Kali Transaksi Keuangan di PLN Mobile (seluruh Pelanggan PLN)
2. Total Rupiah Transaksi di PLN Mobile</t>
  </si>
  <si>
    <t>1. Ribuan Kali Transaksi
2. Rp Miliar</t>
  </si>
  <si>
    <t>1,2</t>
  </si>
  <si>
    <t>1,32</t>
  </si>
  <si>
    <t>0,8</t>
  </si>
  <si>
    <t>0,88</t>
  </si>
  <si>
    <t>7,7</t>
  </si>
  <si>
    <t>∑ Kali Trip akibat Gangguan TM Semua Zona + ∑ Kali RPAG Distribusi Semua Zona</t>
  </si>
  <si>
    <t>kali</t>
  </si>
  <si>
    <t>∑ Kerusakan PHBTM dan Trafo Distribusi</t>
  </si>
  <si>
    <t>Unit</t>
  </si>
  <si>
    <t>6,6</t>
  </si>
  <si>
    <t>((2 x OD_JTM) + (1 x OD_GD)) / Total Koefisien</t>
  </si>
  <si>
    <t>(2 x Siaga1_SUTM) + (2 x Siaga1_SKTM) + (1 x Siaga1_PHBTM) + (1 x Siaga1_Trafo)} / Total Koefisien</t>
  </si>
  <si>
    <t>6,2</t>
  </si>
  <si>
    <t>6,4</t>
  </si>
  <si>
    <t>Realisasi Saldo PAL dan TS Rata-Rata Akhir Bulan Non Kogol 1 dan Non Kogol 2 dan Non Konsumen TT</t>
  </si>
  <si>
    <t>Rp Juta</t>
  </si>
  <si>
    <t>**)semester, realisasi UID</t>
  </si>
  <si>
    <t>Pelunasan dan Angsuran PRR, Ex-PRR dan Piutang Prabayar sesuai Laporan TUL IV-06, Laporan Pelunasan Ex-PRR, dan Laporan Pelunasan Prabayar</t>
  </si>
  <si>
    <t>Semester I : Realisasi persetujuan usulan penghapusan PRR oleh Dewan Komisaris
Semester II : Penyampaian usulan penghapusan PRR untuk periode 2027</t>
  </si>
  <si>
    <t>Sem I : Rp Miliar
Sem II : %</t>
  </si>
  <si>
    <t>Pengendalian Anggaran</t>
  </si>
  <si>
    <t>5,2</t>
  </si>
  <si>
    <t>a. Pengendalian Penggunaan Anggaran Investasi sesuai RKAP</t>
  </si>
  <si>
    <t>Kesesuaian Realisasi Anggaran Kas Investasi terhadap BA Komitmen Penyerapan AKI</t>
  </si>
  <si>
    <t>95-100</t>
  </si>
  <si>
    <t>95-101</t>
  </si>
  <si>
    <t>95-102</t>
  </si>
  <si>
    <t>95-103</t>
  </si>
  <si>
    <t>95-104</t>
  </si>
  <si>
    <t>95-105</t>
  </si>
  <si>
    <t>95-106</t>
  </si>
  <si>
    <t>95-107</t>
  </si>
  <si>
    <t>95-108</t>
  </si>
  <si>
    <t>95-109</t>
  </si>
  <si>
    <t>95-110</t>
  </si>
  <si>
    <t>95-111</t>
  </si>
  <si>
    <t>87,8</t>
  </si>
  <si>
    <t>109,65</t>
  </si>
  <si>
    <t>b. Usulan Penghapusan ATTB</t>
  </si>
  <si>
    <t>Nilai usulan penghapusan ATTB yang selesai diverifikasi oleh DIV AKT</t>
  </si>
  <si>
    <t>829,4</t>
  </si>
  <si>
    <t>c. Pengendalian NAC (Non Allowable Cost)</t>
  </si>
  <si>
    <t>Kesesuaian Realisasi Anggaran NAC terhadap SKAO terbit</t>
  </si>
  <si>
    <t>**)semester</t>
  </si>
  <si>
    <t>Σ kwh temuan P2TL golongan P dan K yang terselesaikan tercatat sebagai pendapatan tercatat dalam AP2T (Tagsus Total)</t>
  </si>
  <si>
    <t>Σ penggantian kWh Meter pada periode berjalan</t>
  </si>
  <si>
    <t>(1-( Jumlah Saldo lbkb berturut ≥ 3 bulan dibagi Jumlah Populasi Pascabayar)) *(100)</t>
  </si>
  <si>
    <t>1. Peningkatan Maturity EAM Maximo
2. Penggambaran Aset Distribusi berbasis ArcGIS Korporat
3. Perencanaan Pengembangan sistem distribusi berbasis data dan simulasi power sistem di E-MPSD
4. Mapping Pelanggan per Trafo Distribusi</t>
  </si>
  <si>
    <t>**)realisasi UID</t>
  </si>
  <si>
    <t>101,67</t>
  </si>
  <si>
    <t>101,51</t>
  </si>
  <si>
    <t>101,58</t>
  </si>
  <si>
    <t>98,43</t>
  </si>
  <si>
    <t>104,41</t>
  </si>
  <si>
    <t>1. Ketepatan Perencanaan Pekerjaan (sesuai kewenangan)
2. Pekerjaan berdampak Padam (sesuai kewenangan)</t>
  </si>
  <si>
    <t>Nilai Pengurang dari Matlev (PLN Bisnis Ekselen, Sustainability, Sistem Manajemen Kepatuhan, Stakeholder Management, Gudang)</t>
  </si>
  <si>
    <t>Max - 3</t>
  </si>
  <si>
    <t>Nilai Pengurang dari Kepatuhan (Pengelolaan HSSE, Penyelesaian Temuan Audit, Ketepatan Penyampaian Pelaporan dan Akurasi Data Kinerja, Kejadian Critical Event, Kearsipan)</t>
  </si>
  <si>
    <t>Nilai Pengurang dari Tata Kelola Perusahaan (Human Capital Index, Pencapaian Pelaksanaan Roadmap Perbaikan Manajemen Risiko, Implementasi Eproc, Pengelolaan Komunikasi dan TJSL, Sinergy/Incorporated)</t>
  </si>
  <si>
    <t>TOTAL</t>
  </si>
  <si>
    <t>104,62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</si>
</sst>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00000000000000000"/>
    <numFmt numFmtId="165" formatCode="0.0000000000000000000000000"/>
    <numFmt numFmtId="166" formatCode="_-* #,##0.00_-;\-* #,##0.00_-;_-* &quot;-&quot;??_-;_-@"/>
    <numFmt numFmtId="167" formatCode="#,##0.000000000000000000"/>
    <numFmt numFmtId="168" formatCode="#,##0.00000000000000000000000"/>
    <numFmt numFmtId="169" formatCode="_(* #,##0.00_);_(* \(#,##0.00\);_(* &quot;-&quot;??_);_(@_)"/>
    <numFmt numFmtId="170" formatCode="#,##0.0000000000000000000000"/>
    <numFmt numFmtId="171" formatCode="#,##0.0000000000000000000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top"/>
    </xf>
    <xf borderId="0" fillId="0" fontId="5" numFmtId="0" xfId="0" applyFont="1"/>
    <xf borderId="0" fillId="0" fontId="3" numFmtId="0" xfId="0" applyAlignment="1" applyFont="1">
      <alignment readingOrder="0" shrinkToFit="0" vertical="bottom" wrapText="0"/>
    </xf>
    <xf borderId="0" fillId="0" fontId="5" numFmtId="4" xfId="0" applyFont="1" applyNumberFormat="1"/>
    <xf borderId="1" fillId="2" fontId="1" numFmtId="0" xfId="0" applyBorder="1" applyFill="1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0" fontId="3" numFmtId="169" xfId="0" applyAlignment="1" applyFont="1" applyNumberForma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0" fillId="0" fontId="3" numFmtId="170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0" fontId="3" numFmtId="17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2" t="s">
        <v>1</v>
      </c>
    </row>
    <row r="2">
      <c r="A2" s="4"/>
    </row>
    <row r="3">
      <c r="A3" s="4" t="s">
        <v>13</v>
      </c>
    </row>
    <row r="4">
      <c r="A4" s="4" t="s">
        <v>15</v>
      </c>
    </row>
    <row r="5">
      <c r="A5" s="4" t="s">
        <v>18</v>
      </c>
    </row>
    <row r="6">
      <c r="A6" s="4"/>
    </row>
    <row r="7">
      <c r="A7" s="4" t="s">
        <v>19</v>
      </c>
    </row>
    <row r="8">
      <c r="A8" s="4" t="s">
        <v>20</v>
      </c>
    </row>
    <row r="9">
      <c r="A9" s="4" t="s">
        <v>22</v>
      </c>
    </row>
    <row r="10">
      <c r="A10" s="4" t="s">
        <v>24</v>
      </c>
    </row>
    <row r="11">
      <c r="A11" s="4" t="s">
        <v>25</v>
      </c>
    </row>
    <row r="12">
      <c r="A12" s="4" t="s">
        <v>27</v>
      </c>
    </row>
    <row r="13">
      <c r="A13" s="4" t="s">
        <v>28</v>
      </c>
    </row>
    <row r="14">
      <c r="A14" s="4"/>
    </row>
    <row r="15">
      <c r="A15" s="4" t="s">
        <v>29</v>
      </c>
    </row>
    <row r="16">
      <c r="A16" s="4" t="s">
        <v>30</v>
      </c>
    </row>
    <row r="17">
      <c r="A17" s="4" t="s">
        <v>31</v>
      </c>
    </row>
    <row r="18">
      <c r="A18" s="4" t="s">
        <v>32</v>
      </c>
    </row>
    <row r="19">
      <c r="A19" s="4" t="s">
        <v>33</v>
      </c>
    </row>
    <row r="20">
      <c r="A20" s="4" t="s">
        <v>34</v>
      </c>
    </row>
    <row r="21" ht="15.75" customHeight="1">
      <c r="A21" s="4" t="s">
        <v>35</v>
      </c>
    </row>
    <row r="22" ht="15.75" customHeight="1">
      <c r="A22" s="4" t="s">
        <v>36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14</v>
      </c>
    </row>
    <row r="2">
      <c r="A2" s="5" t="s">
        <v>16</v>
      </c>
      <c r="B2" s="5">
        <v>101.14</v>
      </c>
      <c r="C2" s="5">
        <v>92.81</v>
      </c>
      <c r="D2" s="5">
        <v>96.41</v>
      </c>
      <c r="E2" s="5">
        <v>98.52</v>
      </c>
      <c r="F2" s="5">
        <v>99.44</v>
      </c>
      <c r="G2" s="5">
        <v>97.93</v>
      </c>
      <c r="H2" s="5">
        <v>98.64</v>
      </c>
      <c r="I2" s="5">
        <v>99.54</v>
      </c>
    </row>
    <row r="3">
      <c r="A3" s="5" t="s">
        <v>26</v>
      </c>
      <c r="B3" s="5">
        <v>94.33</v>
      </c>
      <c r="C3" s="5">
        <v>90.87</v>
      </c>
      <c r="D3" s="5">
        <v>99.47</v>
      </c>
      <c r="E3" s="5">
        <v>98.54</v>
      </c>
      <c r="F3" s="5">
        <v>98.83</v>
      </c>
      <c r="G3" s="5">
        <v>95.0</v>
      </c>
      <c r="H3" s="5">
        <v>91.43</v>
      </c>
      <c r="I3" s="5">
        <v>98.21</v>
      </c>
    </row>
    <row r="4">
      <c r="A4" s="5" t="s">
        <v>37</v>
      </c>
      <c r="B4" s="5">
        <v>97.15</v>
      </c>
      <c r="C4" s="5">
        <v>98.5</v>
      </c>
      <c r="D4" s="5">
        <v>103.23</v>
      </c>
      <c r="E4" s="5">
        <v>100.29</v>
      </c>
      <c r="F4" s="5">
        <v>99.82</v>
      </c>
      <c r="G4" s="5">
        <v>94.96</v>
      </c>
      <c r="H4" s="5">
        <v>100.31</v>
      </c>
      <c r="I4" s="5">
        <v>99.79</v>
      </c>
    </row>
    <row r="5">
      <c r="A5" s="5" t="s">
        <v>38</v>
      </c>
      <c r="B5" s="5">
        <v>96.81</v>
      </c>
      <c r="C5" s="5">
        <v>98.52</v>
      </c>
      <c r="D5" s="5">
        <v>103.51</v>
      </c>
      <c r="E5" s="5">
        <v>98.54</v>
      </c>
      <c r="F5" s="5">
        <v>96.73</v>
      </c>
      <c r="G5" s="5">
        <v>96.21</v>
      </c>
      <c r="H5" s="5">
        <v>100.66</v>
      </c>
      <c r="I5" s="5">
        <v>99.41</v>
      </c>
    </row>
    <row r="6">
      <c r="A6" s="5" t="s">
        <v>39</v>
      </c>
      <c r="B6" s="5">
        <v>96.02</v>
      </c>
      <c r="C6" s="5">
        <v>98.89</v>
      </c>
      <c r="D6" s="5">
        <v>103.64</v>
      </c>
      <c r="E6" s="5">
        <v>98.19</v>
      </c>
      <c r="F6" s="5">
        <v>101.61</v>
      </c>
      <c r="G6" s="5">
        <v>96.28</v>
      </c>
      <c r="H6" s="5">
        <v>101.89</v>
      </c>
      <c r="I6" s="5">
        <v>101.31</v>
      </c>
    </row>
    <row r="7">
      <c r="A7" s="5" t="s">
        <v>41</v>
      </c>
      <c r="B7" s="5">
        <v>101.03</v>
      </c>
      <c r="C7" s="5">
        <v>101.46</v>
      </c>
      <c r="D7" s="5">
        <v>107.65</v>
      </c>
      <c r="E7" s="5">
        <v>101.5</v>
      </c>
      <c r="F7" s="5">
        <v>104.8</v>
      </c>
      <c r="G7" s="5">
        <v>100.22</v>
      </c>
      <c r="H7" s="5">
        <v>104.95</v>
      </c>
      <c r="I7" s="5">
        <v>102.62</v>
      </c>
    </row>
    <row r="8">
      <c r="A8" s="5" t="s">
        <v>42</v>
      </c>
    </row>
    <row r="9">
      <c r="A9" s="5" t="s">
        <v>43</v>
      </c>
    </row>
    <row r="10">
      <c r="A10" s="5" t="s">
        <v>44</v>
      </c>
    </row>
    <row r="11">
      <c r="A11" s="5" t="s">
        <v>45</v>
      </c>
    </row>
    <row r="12">
      <c r="A12" s="5" t="s">
        <v>46</v>
      </c>
    </row>
    <row r="13">
      <c r="A13" s="5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.0"/>
    <col customWidth="1" min="3" max="3" width="8.0"/>
    <col customWidth="1" min="4" max="4" width="55.0"/>
    <col customWidth="1" min="5" max="12" width="8.0"/>
    <col customWidth="1" min="13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5" t="s">
        <v>16</v>
      </c>
      <c r="B2" s="5">
        <v>1.0</v>
      </c>
      <c r="C2" s="5" t="s">
        <v>21</v>
      </c>
      <c r="D2" s="5" t="s">
        <v>23</v>
      </c>
      <c r="E2" s="5">
        <v>14.0</v>
      </c>
      <c r="F2" s="7">
        <f>IFERROR(__xludf.DUMMYFUNCTION("IMPORTRANGE(""1e7--NjE9N54w7uxIeTVQ2x149gW2CjGTf8gPedLtEqw"",""MDK!BR5:BR45"")"),85.49263765175503)</f>
        <v>85.49263765</v>
      </c>
      <c r="G2" s="7">
        <f>IFERROR(__xludf.DUMMYFUNCTION("IMPORTRANGE(""1e7--NjE9N54w7uxIeTVQ2x149gW2CjGTf8gPedLtEqw"",""MGT!BR5:BR45"")"),80.75553500616832)</f>
        <v>80.75553501</v>
      </c>
      <c r="H2" s="7">
        <f>IFERROR(__xludf.DUMMYFUNCTION("IMPORTRANGE(""1e7--NjE9N54w7uxIeTVQ2x149gW2CjGTf8gPedLtEqw"",""NGW!BR5:BR45"")"),60.02645827710774)</f>
        <v>60.02645828</v>
      </c>
      <c r="I2" s="7">
        <f>IFERROR(__xludf.DUMMYFUNCTION("IMPORTRANGE(""1e7--NjE9N54w7uxIeTVQ2x149gW2CjGTf8gPedLtEqw"",""MPT!BR5:BR45"")"),74.50808388065612)</f>
        <v>74.50808388</v>
      </c>
      <c r="J2" s="7">
        <f>IFERROR(__xludf.DUMMYFUNCTION("IMPORTRANGE(""1e7--NjE9N54w7uxIeTVQ2x149gW2CjGTf8gPedLtEqw"",""CRB!BR5:BR45"")"),86.94811271795322)</f>
        <v>86.94811272</v>
      </c>
      <c r="K2" s="7">
        <f>IFERROR(__xludf.DUMMYFUNCTION("IMPORTRANGE(""1e7--NjE9N54w7uxIeTVQ2x149gW2CjGTf8gPedLtEqw"",""DLP!BR5:BR45"")"),69.66523716244393)</f>
        <v>69.66523716</v>
      </c>
      <c r="L2" s="7">
        <f>IFERROR(__xludf.DUMMYFUNCTION("IMPORTRANGE(""1e7--NjE9N54w7uxIeTVQ2x149gW2CjGTf8gPedLtEqw"",""MTN!BR5:BR45"")"),59.91636650106089)</f>
        <v>59.9163665</v>
      </c>
    </row>
    <row r="3">
      <c r="A3" s="5" t="s">
        <v>16</v>
      </c>
      <c r="B3" s="5">
        <v>2.0</v>
      </c>
      <c r="C3" s="5" t="s">
        <v>21</v>
      </c>
      <c r="D3" s="5" t="s">
        <v>40</v>
      </c>
      <c r="E3" s="5">
        <v>12.0</v>
      </c>
      <c r="F3" s="7">
        <f>IFERROR(__xludf.DUMMYFUNCTION("""COMPUTED_VALUE"""),186.8391881146223)</f>
        <v>186.8391881</v>
      </c>
      <c r="G3" s="7">
        <f>IFERROR(__xludf.DUMMYFUNCTION("""COMPUTED_VALUE"""),84.15841415936882)</f>
        <v>84.15841416</v>
      </c>
      <c r="H3" s="7">
        <f>IFERROR(__xludf.DUMMYFUNCTION("""COMPUTED_VALUE"""),100.4300811841404)</f>
        <v>100.4300812</v>
      </c>
      <c r="I3" s="7">
        <f>IFERROR(__xludf.DUMMYFUNCTION("""COMPUTED_VALUE"""),100.85556979801389)</f>
        <v>100.8555698</v>
      </c>
      <c r="J3" s="7">
        <f>IFERROR(__xludf.DUMMYFUNCTION("""COMPUTED_VALUE"""),89.39752130504688)</f>
        <v>89.39752131</v>
      </c>
      <c r="K3" s="7">
        <f>IFERROR(__xludf.DUMMYFUNCTION("""COMPUTED_VALUE"""),90.49187269109338)</f>
        <v>90.49187269</v>
      </c>
      <c r="L3" s="7">
        <f>IFERROR(__xludf.DUMMYFUNCTION("""COMPUTED_VALUE"""),119.32290696070544)</f>
        <v>119.322907</v>
      </c>
    </row>
    <row r="4">
      <c r="A4" s="5" t="s">
        <v>16</v>
      </c>
      <c r="B4" s="5">
        <v>3.0</v>
      </c>
      <c r="C4" s="5" t="s">
        <v>48</v>
      </c>
      <c r="D4" s="8" t="s">
        <v>49</v>
      </c>
      <c r="E4" s="5">
        <v>14.0</v>
      </c>
      <c r="F4" s="5"/>
      <c r="G4" s="5"/>
      <c r="H4" s="5"/>
      <c r="I4" s="5"/>
      <c r="J4" s="5"/>
      <c r="K4" s="5"/>
      <c r="L4" s="5"/>
    </row>
    <row r="5">
      <c r="A5" s="5" t="s">
        <v>16</v>
      </c>
      <c r="C5" s="5" t="s">
        <v>21</v>
      </c>
      <c r="D5" s="5" t="s">
        <v>51</v>
      </c>
      <c r="E5" s="5">
        <v>6.0</v>
      </c>
      <c r="F5" s="7">
        <f>IFERROR(__xludf.DUMMYFUNCTION("""COMPUTED_VALUE"""),161.1219155570434)</f>
        <v>161.1219156</v>
      </c>
      <c r="G5" s="7">
        <f>IFERROR(__xludf.DUMMYFUNCTION("""COMPUTED_VALUE"""),70.5364954192502)</f>
        <v>70.53649542</v>
      </c>
      <c r="H5" s="7">
        <f>IFERROR(__xludf.DUMMYFUNCTION("""COMPUTED_VALUE"""),110.18095347808017)</f>
        <v>110.1809535</v>
      </c>
      <c r="I5" s="7">
        <f>IFERROR(__xludf.DUMMYFUNCTION("""COMPUTED_VALUE"""),174.61791093210545)</f>
        <v>174.6179109</v>
      </c>
      <c r="J5" s="7">
        <f>IFERROR(__xludf.DUMMYFUNCTION("""COMPUTED_VALUE"""),176.4834366634051)</f>
        <v>176.4834367</v>
      </c>
      <c r="K5" s="7">
        <f>IFERROR(__xludf.DUMMYFUNCTION("""COMPUTED_VALUE"""),187.24260317447877)</f>
        <v>187.2426032</v>
      </c>
      <c r="L5" s="7">
        <f>IFERROR(__xludf.DUMMYFUNCTION("""COMPUTED_VALUE"""),125.49536212634224)</f>
        <v>125.4953621</v>
      </c>
    </row>
    <row r="6">
      <c r="A6" s="5" t="s">
        <v>16</v>
      </c>
      <c r="C6" s="5" t="s">
        <v>21</v>
      </c>
      <c r="D6" s="5" t="s">
        <v>53</v>
      </c>
      <c r="E6" s="5">
        <v>6.0</v>
      </c>
      <c r="F6" s="7">
        <f>IFERROR(__xludf.DUMMYFUNCTION("""COMPUTED_VALUE"""),148.74932953918437)</f>
        <v>148.7493295</v>
      </c>
      <c r="G6" s="7">
        <f>IFERROR(__xludf.DUMMYFUNCTION("""COMPUTED_VALUE"""),61.549461936131266)</f>
        <v>61.54946194</v>
      </c>
      <c r="H6" s="7">
        <f>IFERROR(__xludf.DUMMYFUNCTION("""COMPUTED_VALUE"""),101.81535915360604)</f>
        <v>101.8153592</v>
      </c>
      <c r="I6" s="7">
        <f>IFERROR(__xludf.DUMMYFUNCTION("""COMPUTED_VALUE"""),159.99204027906626)</f>
        <v>159.9920403</v>
      </c>
      <c r="J6" s="7">
        <f>IFERROR(__xludf.DUMMYFUNCTION("""COMPUTED_VALUE"""),173.5348849379377)</f>
        <v>173.5348849</v>
      </c>
      <c r="K6" s="7">
        <f>IFERROR(__xludf.DUMMYFUNCTION("""COMPUTED_VALUE"""),181.701105002322)</f>
        <v>181.701105</v>
      </c>
      <c r="L6" s="7">
        <f>IFERROR(__xludf.DUMMYFUNCTION("""COMPUTED_VALUE"""),125.7836248578799)</f>
        <v>125.7836249</v>
      </c>
    </row>
    <row r="7">
      <c r="A7" s="5" t="s">
        <v>16</v>
      </c>
      <c r="C7" s="5" t="s">
        <v>21</v>
      </c>
      <c r="D7" s="5" t="s">
        <v>55</v>
      </c>
      <c r="E7" s="5">
        <v>2.0</v>
      </c>
      <c r="F7" s="7">
        <f>IFERROR(__xludf.DUMMYFUNCTION("""COMPUTED_VALUE"""),159.78975043285408)</f>
        <v>159.7897504</v>
      </c>
      <c r="G7" s="7">
        <f>IFERROR(__xludf.DUMMYFUNCTION("""COMPUTED_VALUE"""),98.73975798484587)</f>
        <v>98.73975798</v>
      </c>
      <c r="H7" s="7">
        <f>IFERROR(__xludf.DUMMYFUNCTION("""COMPUTED_VALUE"""),130.75193959984608)</f>
        <v>130.7519396</v>
      </c>
      <c r="I7" s="7">
        <f>IFERROR(__xludf.DUMMYFUNCTION("""COMPUTED_VALUE"""),192.94724386933268)</f>
        <v>192.9472439</v>
      </c>
      <c r="J7" s="7">
        <f>IFERROR(__xludf.DUMMYFUNCTION("""COMPUTED_VALUE"""),175.75706993609614)</f>
        <v>175.7570699</v>
      </c>
      <c r="K7" s="7">
        <f>IFERROR(__xludf.DUMMYFUNCTION("""COMPUTED_VALUE"""),190.99922829438515)</f>
        <v>190.9992283</v>
      </c>
      <c r="L7" s="7">
        <f>IFERROR(__xludf.DUMMYFUNCTION("""COMPUTED_VALUE"""),142.22357900000281)</f>
        <v>142.223579</v>
      </c>
    </row>
    <row r="8">
      <c r="A8" s="5" t="s">
        <v>16</v>
      </c>
      <c r="B8" s="5">
        <v>4.0</v>
      </c>
      <c r="C8" s="5" t="s">
        <v>48</v>
      </c>
      <c r="D8" s="8" t="s">
        <v>62</v>
      </c>
      <c r="E8" s="5">
        <v>10.0</v>
      </c>
      <c r="F8" s="5"/>
      <c r="G8" s="5"/>
      <c r="H8" s="5"/>
      <c r="I8" s="5"/>
      <c r="J8" s="5"/>
      <c r="K8" s="5"/>
      <c r="L8" s="5"/>
    </row>
    <row r="9">
      <c r="A9" s="5" t="s">
        <v>16</v>
      </c>
      <c r="C9" s="5" t="s">
        <v>21</v>
      </c>
      <c r="D9" s="5" t="s">
        <v>64</v>
      </c>
      <c r="E9" s="5">
        <v>5.0</v>
      </c>
      <c r="F9" s="7">
        <f>IFERROR(__xludf.DUMMYFUNCTION("""COMPUTED_VALUE"""),100.0)</f>
        <v>100</v>
      </c>
      <c r="G9" s="7">
        <f>IFERROR(__xludf.DUMMYFUNCTION("""COMPUTED_VALUE"""),100.0)</f>
        <v>100</v>
      </c>
      <c r="H9" s="7">
        <f>IFERROR(__xludf.DUMMYFUNCTION("""COMPUTED_VALUE"""),100.0)</f>
        <v>100</v>
      </c>
      <c r="I9" s="7">
        <f>IFERROR(__xludf.DUMMYFUNCTION("""COMPUTED_VALUE"""),100.0)</f>
        <v>100</v>
      </c>
      <c r="J9" s="7">
        <f>IFERROR(__xludf.DUMMYFUNCTION("""COMPUTED_VALUE"""),100.0)</f>
        <v>100</v>
      </c>
      <c r="K9" s="7">
        <f>IFERROR(__xludf.DUMMYFUNCTION("""COMPUTED_VALUE"""),100.0)</f>
        <v>100</v>
      </c>
      <c r="L9" s="7">
        <f>IFERROR(__xludf.DUMMYFUNCTION("""COMPUTED_VALUE"""),100.0)</f>
        <v>100</v>
      </c>
    </row>
    <row r="10">
      <c r="A10" s="5" t="s">
        <v>16</v>
      </c>
      <c r="C10" s="5" t="s">
        <v>21</v>
      </c>
      <c r="D10" s="5" t="s">
        <v>70</v>
      </c>
      <c r="F10" s="7">
        <f>IFERROR(__xludf.DUMMYFUNCTION("""COMPUTED_VALUE"""),100.0)</f>
        <v>100</v>
      </c>
      <c r="G10" s="7">
        <f>IFERROR(__xludf.DUMMYFUNCTION("""COMPUTED_VALUE"""),100.0)</f>
        <v>100</v>
      </c>
      <c r="H10" s="7">
        <f>IFERROR(__xludf.DUMMYFUNCTION("""COMPUTED_VALUE"""),100.0)</f>
        <v>100</v>
      </c>
      <c r="I10" s="7">
        <f>IFERROR(__xludf.DUMMYFUNCTION("""COMPUTED_VALUE"""),100.0)</f>
        <v>100</v>
      </c>
      <c r="J10" s="7">
        <f>IFERROR(__xludf.DUMMYFUNCTION("""COMPUTED_VALUE"""),100.0)</f>
        <v>100</v>
      </c>
      <c r="K10" s="7">
        <f>IFERROR(__xludf.DUMMYFUNCTION("""COMPUTED_VALUE"""),100.0)</f>
        <v>100</v>
      </c>
      <c r="L10" s="7">
        <f>IFERROR(__xludf.DUMMYFUNCTION("""COMPUTED_VALUE"""),100.0)</f>
        <v>100</v>
      </c>
    </row>
    <row r="11">
      <c r="A11" s="5" t="s">
        <v>16</v>
      </c>
      <c r="C11" s="5" t="s">
        <v>21</v>
      </c>
      <c r="D11" s="5" t="s">
        <v>73</v>
      </c>
      <c r="F11" s="7">
        <f>IFERROR(__xludf.DUMMYFUNCTION("""COMPUTED_VALUE"""),100.0)</f>
        <v>100</v>
      </c>
      <c r="G11" s="7">
        <f>IFERROR(__xludf.DUMMYFUNCTION("""COMPUTED_VALUE"""),100.0)</f>
        <v>100</v>
      </c>
      <c r="H11" s="7">
        <f>IFERROR(__xludf.DUMMYFUNCTION("""COMPUTED_VALUE"""),100.0)</f>
        <v>100</v>
      </c>
      <c r="I11" s="7">
        <f>IFERROR(__xludf.DUMMYFUNCTION("""COMPUTED_VALUE"""),100.0)</f>
        <v>100</v>
      </c>
      <c r="J11" s="7">
        <f>IFERROR(__xludf.DUMMYFUNCTION("""COMPUTED_VALUE"""),100.0)</f>
        <v>100</v>
      </c>
      <c r="K11" s="7">
        <f>IFERROR(__xludf.DUMMYFUNCTION("""COMPUTED_VALUE"""),100.0)</f>
        <v>100</v>
      </c>
      <c r="L11" s="7">
        <f>IFERROR(__xludf.DUMMYFUNCTION("""COMPUTED_VALUE"""),100.0)</f>
        <v>100</v>
      </c>
    </row>
    <row r="12">
      <c r="A12" s="5" t="s">
        <v>16</v>
      </c>
      <c r="C12" s="5" t="s">
        <v>21</v>
      </c>
      <c r="D12" s="5" t="s">
        <v>74</v>
      </c>
      <c r="F12" s="7">
        <f>IFERROR(__xludf.DUMMYFUNCTION("""COMPUTED_VALUE"""),100.0)</f>
        <v>100</v>
      </c>
      <c r="G12" s="7">
        <f>IFERROR(__xludf.DUMMYFUNCTION("""COMPUTED_VALUE"""),100.0)</f>
        <v>100</v>
      </c>
      <c r="H12" s="7">
        <f>IFERROR(__xludf.DUMMYFUNCTION("""COMPUTED_VALUE"""),100.0)</f>
        <v>100</v>
      </c>
      <c r="I12" s="7">
        <f>IFERROR(__xludf.DUMMYFUNCTION("""COMPUTED_VALUE"""),100.0)</f>
        <v>100</v>
      </c>
      <c r="J12" s="7">
        <f>IFERROR(__xludf.DUMMYFUNCTION("""COMPUTED_VALUE"""),100.0)</f>
        <v>100</v>
      </c>
      <c r="K12" s="7">
        <f>IFERROR(__xludf.DUMMYFUNCTION("""COMPUTED_VALUE"""),100.0)</f>
        <v>100</v>
      </c>
      <c r="L12" s="7">
        <f>IFERROR(__xludf.DUMMYFUNCTION("""COMPUTED_VALUE"""),100.0)</f>
        <v>100</v>
      </c>
    </row>
    <row r="13">
      <c r="A13" s="5" t="s">
        <v>16</v>
      </c>
      <c r="C13" s="5" t="s">
        <v>21</v>
      </c>
      <c r="D13" s="5" t="s">
        <v>75</v>
      </c>
      <c r="E13" s="5">
        <v>5.0</v>
      </c>
      <c r="F13" s="7">
        <f>IFERROR(__xludf.DUMMYFUNCTION("""COMPUTED_VALUE"""),100.0)</f>
        <v>100</v>
      </c>
      <c r="G13" s="7">
        <f>IFERROR(__xludf.DUMMYFUNCTION("""COMPUTED_VALUE"""),100.0)</f>
        <v>100</v>
      </c>
      <c r="H13" s="7">
        <f>IFERROR(__xludf.DUMMYFUNCTION("""COMPUTED_VALUE"""),100.0)</f>
        <v>100</v>
      </c>
      <c r="I13" s="7">
        <f>IFERROR(__xludf.DUMMYFUNCTION("""COMPUTED_VALUE"""),100.0)</f>
        <v>100</v>
      </c>
      <c r="J13" s="7">
        <f>IFERROR(__xludf.DUMMYFUNCTION("""COMPUTED_VALUE"""),100.0)</f>
        <v>100</v>
      </c>
      <c r="K13" s="7">
        <f>IFERROR(__xludf.DUMMYFUNCTION("""COMPUTED_VALUE"""),100.0)</f>
        <v>100</v>
      </c>
      <c r="L13" s="7">
        <f>IFERROR(__xludf.DUMMYFUNCTION("""COMPUTED_VALUE"""),100.0)</f>
        <v>100</v>
      </c>
    </row>
    <row r="14">
      <c r="A14" s="5" t="s">
        <v>16</v>
      </c>
      <c r="B14" s="5">
        <v>5.0</v>
      </c>
      <c r="C14" s="5" t="s">
        <v>48</v>
      </c>
      <c r="D14" s="8" t="s">
        <v>76</v>
      </c>
      <c r="E14" s="5">
        <v>10.0</v>
      </c>
      <c r="F14" s="5"/>
      <c r="G14" s="5"/>
      <c r="H14" s="5"/>
      <c r="I14" s="5"/>
      <c r="J14" s="5"/>
      <c r="K14" s="5"/>
      <c r="L14" s="5"/>
    </row>
    <row r="15">
      <c r="A15" s="5" t="s">
        <v>16</v>
      </c>
      <c r="C15" s="5" t="s">
        <v>21</v>
      </c>
      <c r="D15" s="5" t="s">
        <v>79</v>
      </c>
      <c r="E15" s="5">
        <v>0.5</v>
      </c>
      <c r="F15" s="7">
        <f>IFERROR(__xludf.DUMMYFUNCTION("""COMPUTED_VALUE"""),89.7172236503856)</f>
        <v>89.71722365</v>
      </c>
      <c r="G15" s="7">
        <f>IFERROR(__xludf.DUMMYFUNCTION("""COMPUTED_VALUE"""),96.0)</f>
        <v>96</v>
      </c>
      <c r="H15" s="7">
        <f>IFERROR(__xludf.DUMMYFUNCTION("""COMPUTED_VALUE"""),92.64)</f>
        <v>92.64</v>
      </c>
      <c r="I15" s="7">
        <f>IFERROR(__xludf.DUMMYFUNCTION("""COMPUTED_VALUE"""),120.07874015748033)</f>
        <v>120.0787402</v>
      </c>
      <c r="J15" s="7">
        <f>IFERROR(__xludf.DUMMYFUNCTION("""COMPUTED_VALUE"""),103.89221556886228)</f>
        <v>103.8922156</v>
      </c>
      <c r="K15" s="7">
        <f>IFERROR(__xludf.DUMMYFUNCTION("""COMPUTED_VALUE"""),117.02127659574468)</f>
        <v>117.0212766</v>
      </c>
      <c r="L15" s="7">
        <f>IFERROR(__xludf.DUMMYFUNCTION("""COMPUTED_VALUE"""),85.84474885844749)</f>
        <v>85.84474886</v>
      </c>
    </row>
    <row r="16">
      <c r="A16" s="5" t="s">
        <v>16</v>
      </c>
      <c r="C16" s="5" t="s">
        <v>21</v>
      </c>
      <c r="D16" s="5" t="s">
        <v>81</v>
      </c>
      <c r="E16" s="5">
        <v>1.5</v>
      </c>
      <c r="F16" s="7">
        <f>IFERROR(__xludf.DUMMYFUNCTION("""COMPUTED_VALUE"""),146.33372772386218)</f>
        <v>146.3337277</v>
      </c>
      <c r="G16" s="7">
        <f>IFERROR(__xludf.DUMMYFUNCTION("""COMPUTED_VALUE"""),233.70976407447145)</f>
        <v>233.7097641</v>
      </c>
      <c r="H16" s="7">
        <f>IFERROR(__xludf.DUMMYFUNCTION("""COMPUTED_VALUE"""),203.7317856154751)</f>
        <v>203.7317856</v>
      </c>
      <c r="I16" s="7">
        <f>IFERROR(__xludf.DUMMYFUNCTION("""COMPUTED_VALUE"""),380.9171672415192)</f>
        <v>380.9171672</v>
      </c>
      <c r="J16" s="7">
        <f>IFERROR(__xludf.DUMMYFUNCTION("""COMPUTED_VALUE"""),250.29999054126)</f>
        <v>250.2999905</v>
      </c>
      <c r="K16" s="7">
        <f>IFERROR(__xludf.DUMMYFUNCTION("""COMPUTED_VALUE"""),287.25310655884806)</f>
        <v>287.2531066</v>
      </c>
      <c r="L16" s="7">
        <f>IFERROR(__xludf.DUMMYFUNCTION("""COMPUTED_VALUE"""),227.72138157816974)</f>
        <v>227.7213816</v>
      </c>
    </row>
    <row r="17">
      <c r="A17" s="5" t="s">
        <v>16</v>
      </c>
      <c r="C17" s="5" t="s">
        <v>21</v>
      </c>
      <c r="D17" s="5" t="s">
        <v>82</v>
      </c>
      <c r="E17" s="5">
        <v>2.0</v>
      </c>
      <c r="F17" s="7">
        <f>IFERROR(__xludf.DUMMYFUNCTION("""COMPUTED_VALUE"""),81.94687883285573)</f>
        <v>81.94687883</v>
      </c>
      <c r="G17" s="7">
        <f>IFERROR(__xludf.DUMMYFUNCTION("""COMPUTED_VALUE"""),106.59942983903883)</f>
        <v>106.5994298</v>
      </c>
      <c r="H17" s="7">
        <f>IFERROR(__xludf.DUMMYFUNCTION("""COMPUTED_VALUE"""),46.699624424373155)</f>
        <v>46.69962442</v>
      </c>
      <c r="I17" s="7">
        <f>IFERROR(__xludf.DUMMYFUNCTION("""COMPUTED_VALUE"""),93.23234309561084)</f>
        <v>93.2323431</v>
      </c>
      <c r="J17" s="7">
        <f>IFERROR(__xludf.DUMMYFUNCTION("""COMPUTED_VALUE"""),87.20563218870593)</f>
        <v>87.20563219</v>
      </c>
      <c r="K17" s="7">
        <f>IFERROR(__xludf.DUMMYFUNCTION("""COMPUTED_VALUE"""),116.02906254789313)</f>
        <v>116.0290625</v>
      </c>
      <c r="L17" s="7">
        <f>IFERROR(__xludf.DUMMYFUNCTION("""COMPUTED_VALUE"""),121.00461798120483)</f>
        <v>121.004618</v>
      </c>
    </row>
    <row r="18">
      <c r="A18" s="5" t="s">
        <v>16</v>
      </c>
      <c r="C18" s="5" t="s">
        <v>21</v>
      </c>
      <c r="D18" s="5" t="s">
        <v>83</v>
      </c>
      <c r="E18" s="5">
        <v>4.0</v>
      </c>
      <c r="F18" s="7">
        <f>IFERROR(__xludf.DUMMYFUNCTION("""COMPUTED_VALUE"""),100.0)</f>
        <v>100</v>
      </c>
      <c r="G18" s="7">
        <f>IFERROR(__xludf.DUMMYFUNCTION("""COMPUTED_VALUE"""),0.0)</f>
        <v>0</v>
      </c>
      <c r="H18" s="7">
        <f>IFERROR(__xludf.DUMMYFUNCTION("""COMPUTED_VALUE"""),100.0)</f>
        <v>100</v>
      </c>
      <c r="I18" s="7">
        <f>IFERROR(__xludf.DUMMYFUNCTION("""COMPUTED_VALUE"""),100.0)</f>
        <v>100</v>
      </c>
      <c r="J18" s="7">
        <f>IFERROR(__xludf.DUMMYFUNCTION("""COMPUTED_VALUE"""),0.0)</f>
        <v>0</v>
      </c>
      <c r="K18" s="7">
        <f>IFERROR(__xludf.DUMMYFUNCTION("""COMPUTED_VALUE"""),100.0)</f>
        <v>100</v>
      </c>
      <c r="L18" s="7">
        <f>IFERROR(__xludf.DUMMYFUNCTION("""COMPUTED_VALUE"""),100.0)</f>
        <v>100</v>
      </c>
    </row>
    <row r="19">
      <c r="A19" s="5" t="s">
        <v>16</v>
      </c>
      <c r="C19" s="5" t="s">
        <v>21</v>
      </c>
      <c r="D19" s="5" t="s">
        <v>84</v>
      </c>
      <c r="E19" s="5">
        <v>2.0</v>
      </c>
      <c r="F19" s="7">
        <f>IFERROR(__xludf.DUMMYFUNCTION("""COMPUTED_VALUE"""),100.0)</f>
        <v>100</v>
      </c>
      <c r="G19" s="7">
        <f>IFERROR(__xludf.DUMMYFUNCTION("""COMPUTED_VALUE"""),100.0)</f>
        <v>100</v>
      </c>
      <c r="H19" s="7">
        <f>IFERROR(__xludf.DUMMYFUNCTION("""COMPUTED_VALUE"""),0.0)</f>
        <v>0</v>
      </c>
      <c r="I19" s="7">
        <f>IFERROR(__xludf.DUMMYFUNCTION("""COMPUTED_VALUE"""),100.0)</f>
        <v>100</v>
      </c>
      <c r="J19" s="7">
        <f>IFERROR(__xludf.DUMMYFUNCTION("""COMPUTED_VALUE"""),0.0)</f>
        <v>0</v>
      </c>
      <c r="K19" s="7">
        <f>IFERROR(__xludf.DUMMYFUNCTION("""COMPUTED_VALUE"""),100.0)</f>
        <v>100</v>
      </c>
      <c r="L19" s="7">
        <f>IFERROR(__xludf.DUMMYFUNCTION("""COMPUTED_VALUE"""),100.0)</f>
        <v>100</v>
      </c>
    </row>
    <row r="20">
      <c r="A20" s="5" t="s">
        <v>16</v>
      </c>
      <c r="B20" s="5">
        <v>6.0</v>
      </c>
      <c r="C20" s="5" t="s">
        <v>48</v>
      </c>
      <c r="D20" s="8" t="s">
        <v>85</v>
      </c>
      <c r="E20" s="5">
        <v>8.0</v>
      </c>
      <c r="F20" s="5"/>
      <c r="G20" s="5"/>
      <c r="H20" s="5"/>
      <c r="I20" s="5"/>
      <c r="J20" s="5"/>
      <c r="K20" s="5"/>
      <c r="L20" s="5"/>
    </row>
    <row r="21" ht="15.75" customHeight="1">
      <c r="A21" s="5" t="s">
        <v>16</v>
      </c>
      <c r="C21" s="5" t="s">
        <v>21</v>
      </c>
      <c r="D21" s="5" t="s">
        <v>86</v>
      </c>
      <c r="E21" s="5">
        <v>2.0</v>
      </c>
      <c r="F21" s="7">
        <f>IFERROR(__xludf.DUMMYFUNCTION("""COMPUTED_VALUE"""),100.0)</f>
        <v>100</v>
      </c>
      <c r="G21" s="7">
        <f>IFERROR(__xludf.DUMMYFUNCTION("""COMPUTED_VALUE"""),100.0)</f>
        <v>100</v>
      </c>
      <c r="H21" s="7">
        <f>IFERROR(__xludf.DUMMYFUNCTION("""COMPUTED_VALUE"""),100.0)</f>
        <v>100</v>
      </c>
      <c r="I21" s="7">
        <f>IFERROR(__xludf.DUMMYFUNCTION("""COMPUTED_VALUE"""),100.0)</f>
        <v>100</v>
      </c>
      <c r="J21" s="7">
        <f>IFERROR(__xludf.DUMMYFUNCTION("""COMPUTED_VALUE"""),100.0)</f>
        <v>100</v>
      </c>
      <c r="K21" s="7">
        <f>IFERROR(__xludf.DUMMYFUNCTION("""COMPUTED_VALUE"""),100.0)</f>
        <v>100</v>
      </c>
      <c r="L21" s="7">
        <f>IFERROR(__xludf.DUMMYFUNCTION("""COMPUTED_VALUE"""),100.0)</f>
        <v>100</v>
      </c>
    </row>
    <row r="22" ht="15.75" customHeight="1">
      <c r="A22" s="5" t="s">
        <v>16</v>
      </c>
      <c r="C22" s="5" t="s">
        <v>21</v>
      </c>
      <c r="D22" s="5" t="s">
        <v>87</v>
      </c>
      <c r="E22" s="5">
        <v>2.0</v>
      </c>
      <c r="F22" s="7">
        <f>IFERROR(__xludf.DUMMYFUNCTION("""COMPUTED_VALUE"""),122.6)</f>
        <v>122.6</v>
      </c>
      <c r="G22" s="7">
        <f>IFERROR(__xludf.DUMMYFUNCTION("""COMPUTED_VALUE"""),141.23333333333332)</f>
        <v>141.2333333</v>
      </c>
      <c r="H22" s="7">
        <f>IFERROR(__xludf.DUMMYFUNCTION("""COMPUTED_VALUE"""),126.26666666666667)</f>
        <v>126.2666667</v>
      </c>
      <c r="I22" s="7">
        <f>IFERROR(__xludf.DUMMYFUNCTION("""COMPUTED_VALUE"""),143.0)</f>
        <v>143</v>
      </c>
      <c r="J22" s="7">
        <f>IFERROR(__xludf.DUMMYFUNCTION("""COMPUTED_VALUE"""),133.43333333333334)</f>
        <v>133.4333333</v>
      </c>
      <c r="K22" s="7">
        <f>IFERROR(__xludf.DUMMYFUNCTION("""COMPUTED_VALUE"""),131.56666666666666)</f>
        <v>131.5666667</v>
      </c>
      <c r="L22" s="7">
        <f>IFERROR(__xludf.DUMMYFUNCTION("""COMPUTED_VALUE"""),125.76666666666667)</f>
        <v>125.7666667</v>
      </c>
    </row>
    <row r="23" ht="15.75" customHeight="1">
      <c r="A23" s="5" t="s">
        <v>16</v>
      </c>
      <c r="C23" s="5" t="s">
        <v>21</v>
      </c>
      <c r="D23" s="5" t="s">
        <v>88</v>
      </c>
      <c r="E23" s="5">
        <v>2.0</v>
      </c>
      <c r="F23" s="7">
        <f>IFERROR(__xludf.DUMMYFUNCTION("""COMPUTED_VALUE"""),275.2633808869215)</f>
        <v>275.2633809</v>
      </c>
      <c r="G23" s="7">
        <f>IFERROR(__xludf.DUMMYFUNCTION("""COMPUTED_VALUE"""),197.43590347819057)</f>
        <v>197.4359035</v>
      </c>
      <c r="H23" s="7">
        <f>IFERROR(__xludf.DUMMYFUNCTION("""COMPUTED_VALUE"""),195.7139374133275)</f>
        <v>195.7139374</v>
      </c>
      <c r="I23" s="7">
        <f>IFERROR(__xludf.DUMMYFUNCTION("""COMPUTED_VALUE"""),157.31887258073778)</f>
        <v>157.3188726</v>
      </c>
      <c r="J23" s="7">
        <f>IFERROR(__xludf.DUMMYFUNCTION("""COMPUTED_VALUE"""),121.74017166237192)</f>
        <v>121.7401717</v>
      </c>
      <c r="K23" s="7">
        <f>IFERROR(__xludf.DUMMYFUNCTION("""COMPUTED_VALUE"""),116.94325703281348)</f>
        <v>116.943257</v>
      </c>
      <c r="L23" s="7">
        <f>IFERROR(__xludf.DUMMYFUNCTION("""COMPUTED_VALUE"""),120.51398228522365)</f>
        <v>120.5139823</v>
      </c>
    </row>
    <row r="24" ht="15.75" customHeight="1">
      <c r="A24" s="5" t="s">
        <v>16</v>
      </c>
      <c r="C24" s="5" t="s">
        <v>21</v>
      </c>
      <c r="D24" s="5" t="s">
        <v>89</v>
      </c>
      <c r="E24" s="5">
        <v>1.2</v>
      </c>
      <c r="F24" s="7">
        <f>IFERROR(__xludf.DUMMYFUNCTION("""COMPUTED_VALUE"""),149.93498049414825)</f>
        <v>149.9349805</v>
      </c>
      <c r="G24" s="7">
        <f>IFERROR(__xludf.DUMMYFUNCTION("""COMPUTED_VALUE"""),142.6509186351706)</f>
        <v>142.6509186</v>
      </c>
      <c r="H24" s="7">
        <f>IFERROR(__xludf.DUMMYFUNCTION("""COMPUTED_VALUE"""),186.50337004767385)</f>
        <v>186.50337</v>
      </c>
      <c r="I24" s="7">
        <f>IFERROR(__xludf.DUMMYFUNCTION("""COMPUTED_VALUE"""),173.1543624161074)</f>
        <v>173.1543624</v>
      </c>
      <c r="J24" s="7">
        <f>IFERROR(__xludf.DUMMYFUNCTION("""COMPUTED_VALUE"""),153.87196695921529)</f>
        <v>153.871967</v>
      </c>
      <c r="K24" s="7">
        <f>IFERROR(__xludf.DUMMYFUNCTION("""COMPUTED_VALUE"""),166.37797711104236)</f>
        <v>166.3779771</v>
      </c>
      <c r="L24" s="7">
        <f>IFERROR(__xludf.DUMMYFUNCTION("""COMPUTED_VALUE"""),189.97856377277597)</f>
        <v>189.9785638</v>
      </c>
    </row>
    <row r="25" ht="15.75" customHeight="1">
      <c r="A25" s="5" t="s">
        <v>16</v>
      </c>
      <c r="C25" s="5" t="s">
        <v>21</v>
      </c>
      <c r="D25" s="5" t="s">
        <v>92</v>
      </c>
      <c r="E25" s="5">
        <v>0.8</v>
      </c>
      <c r="F25" s="7">
        <f>IFERROR(__xludf.DUMMYFUNCTION("""COMPUTED_VALUE"""),82.285630209188)</f>
        <v>82.28563021</v>
      </c>
      <c r="G25" s="7">
        <f>IFERROR(__xludf.DUMMYFUNCTION("""COMPUTED_VALUE"""),99.96924258502895)</f>
        <v>99.96924259</v>
      </c>
      <c r="H25" s="7">
        <f>IFERROR(__xludf.DUMMYFUNCTION("""COMPUTED_VALUE"""),91.22876944906412)</f>
        <v>91.22876945</v>
      </c>
      <c r="I25" s="7">
        <f>IFERROR(__xludf.DUMMYFUNCTION("""COMPUTED_VALUE"""),110.0)</f>
        <v>110</v>
      </c>
      <c r="J25" s="7">
        <f>IFERROR(__xludf.DUMMYFUNCTION("""COMPUTED_VALUE"""),110.0)</f>
        <v>110</v>
      </c>
      <c r="K25" s="7">
        <f>IFERROR(__xludf.DUMMYFUNCTION("""COMPUTED_VALUE"""),110.0)</f>
        <v>110</v>
      </c>
      <c r="L25" s="7">
        <f>IFERROR(__xludf.DUMMYFUNCTION("""COMPUTED_VALUE"""),110.0)</f>
        <v>110</v>
      </c>
    </row>
    <row r="26" ht="15.75" customHeight="1">
      <c r="A26" s="5" t="s">
        <v>16</v>
      </c>
      <c r="B26" s="5">
        <v>7.0</v>
      </c>
      <c r="C26" s="5" t="s">
        <v>48</v>
      </c>
      <c r="D26" s="8" t="s">
        <v>94</v>
      </c>
      <c r="E26" s="5">
        <v>7.0</v>
      </c>
      <c r="F26" s="5"/>
      <c r="G26" s="5"/>
      <c r="H26" s="5"/>
      <c r="I26" s="5"/>
      <c r="J26" s="5"/>
      <c r="K26" s="5"/>
      <c r="L26" s="5"/>
    </row>
    <row r="27" ht="15.75" customHeight="1">
      <c r="A27" s="5" t="s">
        <v>16</v>
      </c>
      <c r="C27" s="5" t="s">
        <v>21</v>
      </c>
      <c r="D27" s="5" t="s">
        <v>95</v>
      </c>
      <c r="E27" s="5">
        <v>5.0</v>
      </c>
      <c r="F27" s="7">
        <f>IFERROR(__xludf.DUMMYFUNCTION("""COMPUTED_VALUE"""),147.3684210526316)</f>
        <v>147.3684211</v>
      </c>
      <c r="G27" s="7">
        <f>IFERROR(__xludf.DUMMYFUNCTION("""COMPUTED_VALUE"""),137.037037037037)</f>
        <v>137.037037</v>
      </c>
      <c r="H27" s="7">
        <f>IFERROR(__xludf.DUMMYFUNCTION("""COMPUTED_VALUE"""),137.73584905660377)</f>
        <v>137.7358491</v>
      </c>
      <c r="I27" s="7">
        <f>IFERROR(__xludf.DUMMYFUNCTION("""COMPUTED_VALUE"""),166.66666666666669)</f>
        <v>166.6666667</v>
      </c>
      <c r="J27" s="7">
        <f>IFERROR(__xludf.DUMMYFUNCTION("""COMPUTED_VALUE"""),139.28571428571428)</f>
        <v>139.2857143</v>
      </c>
      <c r="K27" s="7">
        <f>IFERROR(__xludf.DUMMYFUNCTION("""COMPUTED_VALUE"""),138.46153846153845)</f>
        <v>138.4615385</v>
      </c>
      <c r="L27" s="7">
        <f>IFERROR(__xludf.DUMMYFUNCTION("""COMPUTED_VALUE"""),131.57894736842107)</f>
        <v>131.5789474</v>
      </c>
    </row>
    <row r="28" ht="15.75" customHeight="1">
      <c r="A28" s="5" t="s">
        <v>16</v>
      </c>
      <c r="C28" s="5" t="s">
        <v>21</v>
      </c>
      <c r="D28" s="5" t="s">
        <v>96</v>
      </c>
      <c r="E28" s="5">
        <v>2.0</v>
      </c>
      <c r="F28" s="7">
        <f>IFERROR(__xludf.DUMMYFUNCTION("""COMPUTED_VALUE"""),100.0)</f>
        <v>100</v>
      </c>
      <c r="G28" s="7">
        <f>IFERROR(__xludf.DUMMYFUNCTION("""COMPUTED_VALUE"""),100.0)</f>
        <v>100</v>
      </c>
      <c r="H28" s="7">
        <f>IFERROR(__xludf.DUMMYFUNCTION("""COMPUTED_VALUE"""),100.0)</f>
        <v>100</v>
      </c>
      <c r="I28" s="7">
        <f>IFERROR(__xludf.DUMMYFUNCTION("""COMPUTED_VALUE"""),100.0)</f>
        <v>100</v>
      </c>
      <c r="J28" s="7">
        <f>IFERROR(__xludf.DUMMYFUNCTION("""COMPUTED_VALUE"""),100.0)</f>
        <v>100</v>
      </c>
      <c r="K28" s="7">
        <f>IFERROR(__xludf.DUMMYFUNCTION("""COMPUTED_VALUE"""),100.0)</f>
        <v>100</v>
      </c>
      <c r="L28" s="7">
        <f>IFERROR(__xludf.DUMMYFUNCTION("""COMPUTED_VALUE"""),100.0)</f>
        <v>100</v>
      </c>
    </row>
    <row r="29" ht="15.75" customHeight="1">
      <c r="A29" s="5" t="s">
        <v>16</v>
      </c>
      <c r="B29" s="5">
        <v>8.0</v>
      </c>
      <c r="C29" s="5" t="s">
        <v>48</v>
      </c>
      <c r="D29" s="8" t="s">
        <v>97</v>
      </c>
      <c r="E29" s="5">
        <v>8.0</v>
      </c>
      <c r="F29" s="5"/>
      <c r="G29" s="5"/>
      <c r="H29" s="5"/>
      <c r="I29" s="5"/>
      <c r="J29" s="5"/>
      <c r="K29" s="5"/>
      <c r="L29" s="5"/>
    </row>
    <row r="30" ht="15.75" customHeight="1">
      <c r="A30" s="5" t="s">
        <v>16</v>
      </c>
      <c r="C30" s="5" t="s">
        <v>21</v>
      </c>
      <c r="D30" s="5" t="s">
        <v>98</v>
      </c>
      <c r="E30" s="5">
        <v>6.0</v>
      </c>
      <c r="F30" s="7">
        <f>IFERROR(__xludf.DUMMYFUNCTION("""COMPUTED_VALUE"""),110.00000000000001)</f>
        <v>110</v>
      </c>
      <c r="G30" s="7">
        <f>IFERROR(__xludf.DUMMYFUNCTION("""COMPUTED_VALUE"""),110.00000000000001)</f>
        <v>110</v>
      </c>
      <c r="H30" s="7">
        <f>IFERROR(__xludf.DUMMYFUNCTION("""COMPUTED_VALUE"""),110.00000000000001)</f>
        <v>110</v>
      </c>
      <c r="I30" s="7">
        <f>IFERROR(__xludf.DUMMYFUNCTION("""COMPUTED_VALUE"""),110.00000000000001)</f>
        <v>110</v>
      </c>
      <c r="J30" s="7">
        <f>IFERROR(__xludf.DUMMYFUNCTION("""COMPUTED_VALUE"""),110.00000000000001)</f>
        <v>110</v>
      </c>
      <c r="K30" s="7">
        <f>IFERROR(__xludf.DUMMYFUNCTION("""COMPUTED_VALUE"""),110.00000000000001)</f>
        <v>110</v>
      </c>
      <c r="L30" s="7">
        <f>IFERROR(__xludf.DUMMYFUNCTION("""COMPUTED_VALUE"""),110.00000000000001)</f>
        <v>110</v>
      </c>
    </row>
    <row r="31" ht="15.75" customHeight="1">
      <c r="A31" s="5" t="s">
        <v>16</v>
      </c>
      <c r="C31" s="5" t="s">
        <v>21</v>
      </c>
      <c r="D31" s="5" t="s">
        <v>99</v>
      </c>
      <c r="E31" s="5">
        <v>2.0</v>
      </c>
      <c r="F31" s="7">
        <f>IFERROR(__xludf.DUMMYFUNCTION("""COMPUTED_VALUE"""),110.00000000000001)</f>
        <v>110</v>
      </c>
      <c r="G31" s="7">
        <f>IFERROR(__xludf.DUMMYFUNCTION("""COMPUTED_VALUE"""),110.00000000000001)</f>
        <v>110</v>
      </c>
      <c r="H31" s="7">
        <f>IFERROR(__xludf.DUMMYFUNCTION("""COMPUTED_VALUE"""),110.00000000000001)</f>
        <v>110</v>
      </c>
      <c r="I31" s="7">
        <f>IFERROR(__xludf.DUMMYFUNCTION("""COMPUTED_VALUE"""),110.00000000000001)</f>
        <v>110</v>
      </c>
      <c r="J31" s="7">
        <f>IFERROR(__xludf.DUMMYFUNCTION("""COMPUTED_VALUE"""),110.00000000000001)</f>
        <v>110</v>
      </c>
      <c r="K31" s="7">
        <f>IFERROR(__xludf.DUMMYFUNCTION("""COMPUTED_VALUE"""),110.00000000000001)</f>
        <v>110</v>
      </c>
      <c r="L31" s="7">
        <f>IFERROR(__xludf.DUMMYFUNCTION("""COMPUTED_VALUE"""),110.00000000000001)</f>
        <v>110</v>
      </c>
    </row>
    <row r="32" ht="15.75" customHeight="1">
      <c r="A32" s="5" t="s">
        <v>16</v>
      </c>
      <c r="B32" s="5">
        <v>9.0</v>
      </c>
      <c r="C32" s="5" t="s">
        <v>48</v>
      </c>
      <c r="D32" s="8" t="s">
        <v>101</v>
      </c>
      <c r="E32" s="5">
        <v>6.0</v>
      </c>
      <c r="F32" s="5"/>
      <c r="G32" s="5"/>
      <c r="H32" s="5"/>
      <c r="I32" s="5"/>
      <c r="J32" s="5"/>
      <c r="K32" s="5"/>
      <c r="L32" s="5"/>
    </row>
    <row r="33" ht="15.75" customHeight="1">
      <c r="A33" s="5" t="s">
        <v>16</v>
      </c>
      <c r="C33" s="5" t="s">
        <v>21</v>
      </c>
      <c r="D33" s="5" t="s">
        <v>102</v>
      </c>
      <c r="E33" s="5">
        <v>2.0</v>
      </c>
      <c r="F33" s="7">
        <f>IFERROR(__xludf.DUMMYFUNCTION("""COMPUTED_VALUE"""),713.610745041934)</f>
        <v>713.610745</v>
      </c>
      <c r="G33" s="7">
        <f>IFERROR(__xludf.DUMMYFUNCTION("""COMPUTED_VALUE"""),497.971361026147)</f>
        <v>497.971361</v>
      </c>
      <c r="H33" s="7">
        <f>IFERROR(__xludf.DUMMYFUNCTION("""COMPUTED_VALUE"""),743.9929262950172)</f>
        <v>743.9929263</v>
      </c>
      <c r="I33" s="7">
        <f>IFERROR(__xludf.DUMMYFUNCTION("""COMPUTED_VALUE"""),84.30555137734001)</f>
        <v>84.30555138</v>
      </c>
      <c r="J33" s="7">
        <f>IFERROR(__xludf.DUMMYFUNCTION("""COMPUTED_VALUE"""),136.20551279030587)</f>
        <v>136.2055128</v>
      </c>
      <c r="K33" s="7">
        <f>IFERROR(__xludf.DUMMYFUNCTION("""COMPUTED_VALUE"""),224.53172974839663)</f>
        <v>224.5317297</v>
      </c>
      <c r="L33" s="7">
        <f>IFERROR(__xludf.DUMMYFUNCTION("""COMPUTED_VALUE"""),159.321194375925)</f>
        <v>159.3211944</v>
      </c>
    </row>
    <row r="34" ht="15.75" customHeight="1">
      <c r="A34" s="5" t="s">
        <v>16</v>
      </c>
      <c r="C34" s="5" t="s">
        <v>21</v>
      </c>
      <c r="D34" s="5" t="s">
        <v>103</v>
      </c>
      <c r="E34" s="5">
        <v>2.0</v>
      </c>
      <c r="F34" s="7">
        <f>IFERROR(__xludf.DUMMYFUNCTION("""COMPUTED_VALUE"""),0.0)</f>
        <v>0</v>
      </c>
      <c r="G34" s="7">
        <f>IFERROR(__xludf.DUMMYFUNCTION("""COMPUTED_VALUE"""),0.0)</f>
        <v>0</v>
      </c>
      <c r="H34" s="7">
        <f>IFERROR(__xludf.DUMMYFUNCTION("""COMPUTED_VALUE"""),0.0)</f>
        <v>0</v>
      </c>
      <c r="I34" s="7">
        <f>IFERROR(__xludf.DUMMYFUNCTION("""COMPUTED_VALUE"""),0.0)</f>
        <v>0</v>
      </c>
      <c r="J34" s="7">
        <f>IFERROR(__xludf.DUMMYFUNCTION("""COMPUTED_VALUE"""),0.0)</f>
        <v>0</v>
      </c>
      <c r="K34" s="7">
        <f>IFERROR(__xludf.DUMMYFUNCTION("""COMPUTED_VALUE"""),0.0)</f>
        <v>0</v>
      </c>
      <c r="L34" s="7">
        <f>IFERROR(__xludf.DUMMYFUNCTION("""COMPUTED_VALUE"""),0.0)</f>
        <v>0</v>
      </c>
    </row>
    <row r="35" ht="15.75" customHeight="1">
      <c r="A35" s="5" t="s">
        <v>16</v>
      </c>
      <c r="C35" s="5" t="s">
        <v>21</v>
      </c>
      <c r="D35" s="5" t="s">
        <v>104</v>
      </c>
      <c r="E35" s="5">
        <v>2.0</v>
      </c>
      <c r="F35" s="7">
        <f>IFERROR(__xludf.DUMMYFUNCTION("""COMPUTED_VALUE"""),100.0)</f>
        <v>100</v>
      </c>
      <c r="G35" s="7">
        <f>IFERROR(__xludf.DUMMYFUNCTION("""COMPUTED_VALUE"""),100.0)</f>
        <v>100</v>
      </c>
      <c r="H35" s="7">
        <f>IFERROR(__xludf.DUMMYFUNCTION("""COMPUTED_VALUE"""),100.0)</f>
        <v>100</v>
      </c>
      <c r="I35" s="7">
        <f>IFERROR(__xludf.DUMMYFUNCTION("""COMPUTED_VALUE"""),100.0)</f>
        <v>100</v>
      </c>
      <c r="J35" s="7">
        <f>IFERROR(__xludf.DUMMYFUNCTION("""COMPUTED_VALUE"""),100.0)</f>
        <v>100</v>
      </c>
      <c r="K35" s="7">
        <f>IFERROR(__xludf.DUMMYFUNCTION("""COMPUTED_VALUE"""),100.0)</f>
        <v>100</v>
      </c>
      <c r="L35" s="7">
        <f>IFERROR(__xludf.DUMMYFUNCTION("""COMPUTED_VALUE"""),100.0)</f>
        <v>100</v>
      </c>
    </row>
    <row r="36" ht="15.75" customHeight="1">
      <c r="A36" s="5" t="s">
        <v>16</v>
      </c>
      <c r="B36" s="5">
        <v>10.0</v>
      </c>
      <c r="C36" s="5" t="s">
        <v>48</v>
      </c>
      <c r="D36" s="8" t="s">
        <v>107</v>
      </c>
      <c r="E36" s="5">
        <v>7.0</v>
      </c>
      <c r="F36" s="5"/>
      <c r="G36" s="5"/>
      <c r="H36" s="5"/>
      <c r="I36" s="5"/>
      <c r="J36" s="5"/>
      <c r="K36" s="5"/>
      <c r="L36" s="5"/>
    </row>
    <row r="37" ht="15.75" customHeight="1">
      <c r="A37" s="5" t="s">
        <v>16</v>
      </c>
      <c r="C37" s="5" t="s">
        <v>21</v>
      </c>
      <c r="D37" s="5" t="s">
        <v>108</v>
      </c>
      <c r="E37" s="5">
        <v>3.0</v>
      </c>
      <c r="F37" s="7">
        <f>IFERROR(__xludf.DUMMYFUNCTION("""COMPUTED_VALUE"""),50.49075979188552)</f>
        <v>50.49075979</v>
      </c>
      <c r="G37" s="7">
        <f>IFERROR(__xludf.DUMMYFUNCTION("""COMPUTED_VALUE"""),39.69574607944408)</f>
        <v>39.69574608</v>
      </c>
      <c r="H37" s="7">
        <f>IFERROR(__xludf.DUMMYFUNCTION("""COMPUTED_VALUE"""),80.44668775990999)</f>
        <v>80.44668776</v>
      </c>
      <c r="I37" s="7">
        <f>IFERROR(__xludf.DUMMYFUNCTION("""COMPUTED_VALUE"""),46.70703841694713)</f>
        <v>46.70703842</v>
      </c>
      <c r="J37" s="7">
        <f>IFERROR(__xludf.DUMMYFUNCTION("""COMPUTED_VALUE"""),29.91846514937152)</f>
        <v>29.91846515</v>
      </c>
      <c r="K37" s="7">
        <f>IFERROR(__xludf.DUMMYFUNCTION("""COMPUTED_VALUE"""),46.24228379647202)</f>
        <v>46.2422838</v>
      </c>
      <c r="L37" s="7">
        <f>IFERROR(__xludf.DUMMYFUNCTION("""COMPUTED_VALUE"""),61.14018094306085)</f>
        <v>61.14018094</v>
      </c>
    </row>
    <row r="38" ht="15.75" customHeight="1">
      <c r="A38" s="5" t="s">
        <v>16</v>
      </c>
      <c r="C38" s="5" t="s">
        <v>21</v>
      </c>
      <c r="D38" s="5" t="s">
        <v>109</v>
      </c>
      <c r="E38" s="5">
        <v>2.0</v>
      </c>
      <c r="F38" s="7">
        <f>IFERROR(__xludf.DUMMYFUNCTION("""COMPUTED_VALUE"""),169.72477064220183)</f>
        <v>169.7247706</v>
      </c>
      <c r="G38" s="7">
        <f>IFERROR(__xludf.DUMMYFUNCTION("""COMPUTED_VALUE"""),147.1153846153846)</f>
        <v>147.1153846</v>
      </c>
      <c r="H38" s="7">
        <f>IFERROR(__xludf.DUMMYFUNCTION("""COMPUTED_VALUE"""),173.02325581395348)</f>
        <v>173.0232558</v>
      </c>
      <c r="I38" s="7">
        <f>IFERROR(__xludf.DUMMYFUNCTION("""COMPUTED_VALUE"""),243.83561643835617)</f>
        <v>243.8356164</v>
      </c>
      <c r="J38" s="7">
        <f>IFERROR(__xludf.DUMMYFUNCTION("""COMPUTED_VALUE"""),117.11711711711712)</f>
        <v>117.1171171</v>
      </c>
      <c r="K38" s="7">
        <f>IFERROR(__xludf.DUMMYFUNCTION("""COMPUTED_VALUE"""),134.44444444444446)</f>
        <v>134.4444444</v>
      </c>
      <c r="L38" s="7">
        <f>IFERROR(__xludf.DUMMYFUNCTION("""COMPUTED_VALUE"""),121.36752136752136)</f>
        <v>121.3675214</v>
      </c>
    </row>
    <row r="39" ht="15.75" customHeight="1">
      <c r="A39" s="5" t="s">
        <v>16</v>
      </c>
      <c r="C39" s="5" t="s">
        <v>21</v>
      </c>
      <c r="D39" s="5" t="s">
        <v>110</v>
      </c>
      <c r="E39" s="5">
        <v>2.0</v>
      </c>
      <c r="F39" s="7">
        <f>IFERROR(__xludf.DUMMYFUNCTION("""COMPUTED_VALUE"""),100.0)</f>
        <v>100</v>
      </c>
      <c r="G39" s="7">
        <f>IFERROR(__xludf.DUMMYFUNCTION("""COMPUTED_VALUE"""),100.0)</f>
        <v>100</v>
      </c>
      <c r="H39" s="7">
        <f>IFERROR(__xludf.DUMMYFUNCTION("""COMPUTED_VALUE"""),100.0)</f>
        <v>100</v>
      </c>
      <c r="I39" s="7">
        <f>IFERROR(__xludf.DUMMYFUNCTION("""COMPUTED_VALUE"""),100.0)</f>
        <v>100</v>
      </c>
      <c r="J39" s="7">
        <f>IFERROR(__xludf.DUMMYFUNCTION("""COMPUTED_VALUE"""),100.0)</f>
        <v>100</v>
      </c>
      <c r="K39" s="7">
        <f>IFERROR(__xludf.DUMMYFUNCTION("""COMPUTED_VALUE"""),100.0)</f>
        <v>100</v>
      </c>
      <c r="L39" s="7">
        <f>IFERROR(__xludf.DUMMYFUNCTION("""COMPUTED_VALUE"""),100.0)</f>
        <v>100</v>
      </c>
    </row>
    <row r="40" ht="15.75" customHeight="1">
      <c r="A40" s="5" t="s">
        <v>16</v>
      </c>
      <c r="B40" s="15">
        <v>11.0</v>
      </c>
      <c r="C40" s="5" t="s">
        <v>48</v>
      </c>
      <c r="D40" s="8" t="s">
        <v>111</v>
      </c>
      <c r="E40" s="15">
        <v>4.0</v>
      </c>
      <c r="F40" s="5"/>
      <c r="G40" s="5"/>
      <c r="H40" s="5"/>
      <c r="I40" s="5"/>
      <c r="J40" s="5"/>
      <c r="K40" s="5"/>
      <c r="L40" s="5"/>
    </row>
    <row r="41" ht="15.75" customHeight="1">
      <c r="A41" s="5" t="s">
        <v>16</v>
      </c>
      <c r="C41" s="5" t="b">
        <v>0</v>
      </c>
      <c r="D41" s="15" t="s">
        <v>112</v>
      </c>
      <c r="E41" s="15">
        <v>2.0</v>
      </c>
      <c r="F41" s="7">
        <f>IFERROR(__xludf.DUMMYFUNCTION("""COMPUTED_VALUE"""),101.66999999999999)</f>
        <v>101.67</v>
      </c>
      <c r="G41" s="7">
        <f>IFERROR(__xludf.DUMMYFUNCTION("""COMPUTED_VALUE"""),101.66999999999999)</f>
        <v>101.67</v>
      </c>
      <c r="H41" s="7">
        <f>IFERROR(__xludf.DUMMYFUNCTION("""COMPUTED_VALUE"""),101.66999999999999)</f>
        <v>101.67</v>
      </c>
      <c r="I41" s="7">
        <f>IFERROR(__xludf.DUMMYFUNCTION("""COMPUTED_VALUE"""),101.66999999999999)</f>
        <v>101.67</v>
      </c>
      <c r="J41" s="7">
        <f>IFERROR(__xludf.DUMMYFUNCTION("""COMPUTED_VALUE"""),101.66999999999999)</f>
        <v>101.67</v>
      </c>
      <c r="K41" s="7">
        <f>IFERROR(__xludf.DUMMYFUNCTION("""COMPUTED_VALUE"""),101.66999999999999)</f>
        <v>101.67</v>
      </c>
      <c r="L41" s="7">
        <f>IFERROR(__xludf.DUMMYFUNCTION("""COMPUTED_VALUE"""),101.66999999999999)</f>
        <v>101.67</v>
      </c>
    </row>
    <row r="42" ht="15.75" customHeight="1">
      <c r="A42" s="5" t="s">
        <v>16</v>
      </c>
      <c r="C42" s="5" t="s">
        <v>21</v>
      </c>
      <c r="D42" s="15" t="s">
        <v>113</v>
      </c>
      <c r="E42" s="15">
        <v>2.0</v>
      </c>
      <c r="F42" s="7">
        <f>IFERROR(__xludf.DUMMYFUNCTION("""COMPUTED_VALUE"""),100.0)</f>
        <v>100</v>
      </c>
      <c r="G42" s="7">
        <f>IFERROR(__xludf.DUMMYFUNCTION("""COMPUTED_VALUE"""),100.0)</f>
        <v>100</v>
      </c>
      <c r="H42" s="7">
        <f>IFERROR(__xludf.DUMMYFUNCTION("""COMPUTED_VALUE"""),100.0)</f>
        <v>100</v>
      </c>
      <c r="I42" s="7">
        <f>IFERROR(__xludf.DUMMYFUNCTION("""COMPUTED_VALUE"""),100.0)</f>
        <v>100</v>
      </c>
      <c r="J42" s="7">
        <f>IFERROR(__xludf.DUMMYFUNCTION("""COMPUTED_VALUE"""),100.0)</f>
        <v>100</v>
      </c>
      <c r="K42" s="7">
        <f>IFERROR(__xludf.DUMMYFUNCTION("""COMPUTED_VALUE"""),100.0)</f>
        <v>100</v>
      </c>
      <c r="L42" s="7">
        <f>IFERROR(__xludf.DUMMYFUNCTION("""COMPUTED_VALUE"""),100.0)</f>
        <v>100</v>
      </c>
    </row>
    <row r="43" ht="15.75" customHeight="1">
      <c r="A43" s="5" t="s">
        <v>16</v>
      </c>
      <c r="B43" s="15">
        <v>12.0</v>
      </c>
      <c r="C43" s="5" t="s">
        <v>48</v>
      </c>
      <c r="D43" s="8" t="s">
        <v>117</v>
      </c>
    </row>
    <row r="44" ht="15.75" customHeight="1">
      <c r="A44" s="5" t="s">
        <v>16</v>
      </c>
      <c r="C44" s="5" t="s">
        <v>21</v>
      </c>
      <c r="D44" s="15" t="s">
        <v>118</v>
      </c>
    </row>
    <row r="45" ht="15.75" customHeight="1">
      <c r="A45" s="5" t="s">
        <v>16</v>
      </c>
      <c r="C45" s="5" t="s">
        <v>21</v>
      </c>
      <c r="D45" s="15" t="s">
        <v>119</v>
      </c>
    </row>
    <row r="46" ht="15.75" customHeight="1">
      <c r="A46" s="5" t="s">
        <v>16</v>
      </c>
      <c r="C46" s="5" t="s">
        <v>21</v>
      </c>
      <c r="D46" s="15" t="s">
        <v>120</v>
      </c>
    </row>
    <row r="47" ht="15.75" customHeight="1">
      <c r="A47" s="5" t="s">
        <v>26</v>
      </c>
      <c r="B47" s="5">
        <v>1.0</v>
      </c>
      <c r="C47" s="5" t="s">
        <v>21</v>
      </c>
      <c r="D47" s="5" t="s">
        <v>23</v>
      </c>
      <c r="E47" s="5">
        <v>14.0</v>
      </c>
      <c r="F47" s="7">
        <f>IFERROR(__xludf.DUMMYFUNCTION("IMPORTRANGE(""1e7--NjE9N54w7uxIeTVQ2x149gW2CjGTf8gPedLtEqw"",""MDK!BS5:BS45"")"),71.33207094682292)</f>
        <v>71.33207095</v>
      </c>
      <c r="G47" s="7">
        <f>IFERROR(__xludf.DUMMYFUNCTION("IMPORTRANGE(""1e7--NjE9N54w7uxIeTVQ2x149gW2CjGTf8gPedLtEqw"",""MGT!BS5:BS45"")"),59.921521378976905)</f>
        <v>59.92152138</v>
      </c>
      <c r="H47" s="7">
        <f>IFERROR(__xludf.DUMMYFUNCTION("IMPORTRANGE(""1e7--NjE9N54w7uxIeTVQ2x149gW2CjGTf8gPedLtEqw"",""NGW!BS5:BS45"")"),58.80575564165817)</f>
        <v>58.80575564</v>
      </c>
      <c r="I47" s="7">
        <f>IFERROR(__xludf.DUMMYFUNCTION("IMPORTRANGE(""1e7--NjE9N54w7uxIeTVQ2x149gW2CjGTf8gPedLtEqw"",""MPT!BS5:BS45"")"),64.91031392377793)</f>
        <v>64.91031392</v>
      </c>
      <c r="J47" s="7">
        <f>IFERROR(__xludf.DUMMYFUNCTION("IMPORTRANGE(""1e7--NjE9N54w7uxIeTVQ2x149gW2CjGTf8gPedLtEqw"",""CRB!BS5:BS45"")"),76.3284430888572)</f>
        <v>76.32844309</v>
      </c>
      <c r="K47" s="7">
        <f>IFERROR(__xludf.DUMMYFUNCTION("IMPORTRANGE(""1e7--NjE9N54w7uxIeTVQ2x149gW2CjGTf8gPedLtEqw"",""DLP!BS5:BS45"")"),50.346436889556365)</f>
        <v>50.34643689</v>
      </c>
      <c r="L47" s="7">
        <f>IFERROR(__xludf.DUMMYFUNCTION("IMPORTRANGE(""1e7--NjE9N54w7uxIeTVQ2x149gW2CjGTf8gPedLtEqw"",""MTN!BS5:BS45"")"),45.00406392288231)</f>
        <v>45.00406392</v>
      </c>
    </row>
    <row r="48" ht="15.75" customHeight="1">
      <c r="A48" s="5" t="s">
        <v>26</v>
      </c>
      <c r="B48" s="5">
        <v>2.0</v>
      </c>
      <c r="C48" s="5" t="s">
        <v>21</v>
      </c>
      <c r="D48" s="5" t="s">
        <v>40</v>
      </c>
      <c r="E48" s="5">
        <v>12.0</v>
      </c>
      <c r="F48" s="7">
        <f>IFERROR(__xludf.DUMMYFUNCTION("""COMPUTED_VALUE"""),146.1059133427782)</f>
        <v>146.1059133</v>
      </c>
      <c r="G48" s="7">
        <f>IFERROR(__xludf.DUMMYFUNCTION("""COMPUTED_VALUE"""),97.1987904129747)</f>
        <v>97.19879041</v>
      </c>
      <c r="H48" s="7">
        <f>IFERROR(__xludf.DUMMYFUNCTION("""COMPUTED_VALUE"""),110.83398781537998)</f>
        <v>110.8339878</v>
      </c>
      <c r="I48" s="7">
        <f>IFERROR(__xludf.DUMMYFUNCTION("""COMPUTED_VALUE"""),110.8071779155243)</f>
        <v>110.8071779</v>
      </c>
      <c r="J48" s="7">
        <f>IFERROR(__xludf.DUMMYFUNCTION("""COMPUTED_VALUE"""),93.9292287218316)</f>
        <v>93.92922872</v>
      </c>
      <c r="K48" s="7">
        <f>IFERROR(__xludf.DUMMYFUNCTION("""COMPUTED_VALUE"""),105.9431661178327)</f>
        <v>105.9431661</v>
      </c>
      <c r="L48" s="7">
        <f>IFERROR(__xludf.DUMMYFUNCTION("""COMPUTED_VALUE"""),111.87775033346166)</f>
        <v>111.8777503</v>
      </c>
    </row>
    <row r="49" ht="15.75" customHeight="1">
      <c r="A49" s="5" t="s">
        <v>26</v>
      </c>
      <c r="B49" s="5">
        <v>3.0</v>
      </c>
      <c r="C49" s="5" t="s">
        <v>48</v>
      </c>
      <c r="D49" s="8" t="s">
        <v>49</v>
      </c>
      <c r="E49" s="5">
        <v>14.0</v>
      </c>
      <c r="F49" s="5"/>
      <c r="G49" s="5"/>
      <c r="H49" s="5"/>
      <c r="I49" s="5"/>
      <c r="J49" s="5"/>
      <c r="K49" s="5"/>
      <c r="L49" s="5"/>
    </row>
    <row r="50" ht="15.75" customHeight="1">
      <c r="A50" s="5" t="s">
        <v>26</v>
      </c>
      <c r="C50" s="5" t="s">
        <v>21</v>
      </c>
      <c r="D50" s="5" t="s">
        <v>51</v>
      </c>
      <c r="E50" s="5">
        <v>6.0</v>
      </c>
      <c r="F50" s="7">
        <f>IFERROR(__xludf.DUMMYFUNCTION("""COMPUTED_VALUE"""),109.34636127478194)</f>
        <v>109.3463613</v>
      </c>
      <c r="G50" s="7">
        <f>IFERROR(__xludf.DUMMYFUNCTION("""COMPUTED_VALUE"""),72.12198477703082)</f>
        <v>72.12198478</v>
      </c>
      <c r="H50" s="7">
        <f>IFERROR(__xludf.DUMMYFUNCTION("""COMPUTED_VALUE"""),108.59679377589298)</f>
        <v>108.5967938</v>
      </c>
      <c r="I50" s="7">
        <f>IFERROR(__xludf.DUMMYFUNCTION("""COMPUTED_VALUE"""),185.3560865581815)</f>
        <v>185.3560866</v>
      </c>
      <c r="J50" s="7">
        <f>IFERROR(__xludf.DUMMYFUNCTION("""COMPUTED_VALUE"""),152.60855028657267)</f>
        <v>152.6085503</v>
      </c>
      <c r="K50" s="7">
        <f>IFERROR(__xludf.DUMMYFUNCTION("""COMPUTED_VALUE"""),167.2668867407515)</f>
        <v>167.2668867</v>
      </c>
      <c r="L50" s="7">
        <f>IFERROR(__xludf.DUMMYFUNCTION("""COMPUTED_VALUE"""),76.70055725109476)</f>
        <v>76.70055725</v>
      </c>
    </row>
    <row r="51" ht="15.75" customHeight="1">
      <c r="A51" s="5" t="s">
        <v>26</v>
      </c>
      <c r="C51" s="5" t="s">
        <v>21</v>
      </c>
      <c r="D51" s="5" t="s">
        <v>53</v>
      </c>
      <c r="E51" s="5">
        <v>6.0</v>
      </c>
      <c r="F51" s="7">
        <f>IFERROR(__xludf.DUMMYFUNCTION("""COMPUTED_VALUE"""),120.1588538094923)</f>
        <v>120.1588538</v>
      </c>
      <c r="G51" s="7">
        <f>IFERROR(__xludf.DUMMYFUNCTION("""COMPUTED_VALUE"""),62.123084452761915)</f>
        <v>62.12308445</v>
      </c>
      <c r="H51" s="7">
        <f>IFERROR(__xludf.DUMMYFUNCTION("""COMPUTED_VALUE"""),105.37200369665054)</f>
        <v>105.3720037</v>
      </c>
      <c r="I51" s="7">
        <f>IFERROR(__xludf.DUMMYFUNCTION("""COMPUTED_VALUE"""),177.39277207207792)</f>
        <v>177.3927721</v>
      </c>
      <c r="J51" s="7">
        <f>IFERROR(__xludf.DUMMYFUNCTION("""COMPUTED_VALUE"""),145.53466043434665)</f>
        <v>145.5346604</v>
      </c>
      <c r="K51" s="7">
        <f>IFERROR(__xludf.DUMMYFUNCTION("""COMPUTED_VALUE"""),156.12689728465517)</f>
        <v>156.1268973</v>
      </c>
      <c r="L51" s="7">
        <f>IFERROR(__xludf.DUMMYFUNCTION("""COMPUTED_VALUE"""),79.72105407516013)</f>
        <v>79.72105408</v>
      </c>
    </row>
    <row r="52" ht="15.75" customHeight="1">
      <c r="A52" s="5" t="s">
        <v>26</v>
      </c>
      <c r="C52" s="5" t="s">
        <v>21</v>
      </c>
      <c r="D52" s="5" t="s">
        <v>55</v>
      </c>
      <c r="E52" s="5">
        <v>2.0</v>
      </c>
      <c r="F52" s="7">
        <f>IFERROR(__xludf.DUMMYFUNCTION("""COMPUTED_VALUE"""),103.99971975738522)</f>
        <v>103.9997198</v>
      </c>
      <c r="G52" s="7">
        <f>IFERROR(__xludf.DUMMYFUNCTION("""COMPUTED_VALUE"""),61.75029106779151)</f>
        <v>61.75029107</v>
      </c>
      <c r="H52" s="7">
        <f>IFERROR(__xludf.DUMMYFUNCTION("""COMPUTED_VALUE"""),110.73975359392094)</f>
        <v>110.7397536</v>
      </c>
      <c r="I52" s="7">
        <f>IFERROR(__xludf.DUMMYFUNCTION("""COMPUTED_VALUE"""),198.31247785863414)</f>
        <v>198.3124779</v>
      </c>
      <c r="J52" s="7">
        <f>IFERROR(__xludf.DUMMYFUNCTION("""COMPUTED_VALUE"""),142.53534060896374)</f>
        <v>142.5353406</v>
      </c>
      <c r="K52" s="7">
        <f>IFERROR(__xludf.DUMMYFUNCTION("""COMPUTED_VALUE"""),167.9515198516227)</f>
        <v>167.9515199</v>
      </c>
      <c r="L52" s="7">
        <f>IFERROR(__xludf.DUMMYFUNCTION("""COMPUTED_VALUE"""),52.102160391903716)</f>
        <v>52.10216039</v>
      </c>
    </row>
    <row r="53" ht="15.75" customHeight="1">
      <c r="A53" s="5" t="s">
        <v>26</v>
      </c>
      <c r="B53" s="5">
        <v>4.0</v>
      </c>
      <c r="C53" s="5" t="s">
        <v>48</v>
      </c>
      <c r="D53" s="8" t="s">
        <v>62</v>
      </c>
      <c r="E53" s="5">
        <v>10.0</v>
      </c>
      <c r="F53" s="5"/>
      <c r="G53" s="5"/>
      <c r="H53" s="5"/>
      <c r="I53" s="5"/>
      <c r="J53" s="5"/>
      <c r="K53" s="5"/>
      <c r="L53" s="5"/>
    </row>
    <row r="54" ht="15.75" customHeight="1">
      <c r="A54" s="5" t="s">
        <v>26</v>
      </c>
      <c r="C54" s="5" t="s">
        <v>21</v>
      </c>
      <c r="D54" s="5" t="s">
        <v>64</v>
      </c>
      <c r="E54" s="5">
        <v>5.0</v>
      </c>
      <c r="F54" s="7">
        <f>IFERROR(__xludf.DUMMYFUNCTION("""COMPUTED_VALUE"""),100.0)</f>
        <v>100</v>
      </c>
      <c r="G54" s="7">
        <f>IFERROR(__xludf.DUMMYFUNCTION("""COMPUTED_VALUE"""),100.0)</f>
        <v>100</v>
      </c>
      <c r="H54" s="7">
        <f>IFERROR(__xludf.DUMMYFUNCTION("""COMPUTED_VALUE"""),100.0)</f>
        <v>100</v>
      </c>
      <c r="I54" s="7">
        <f>IFERROR(__xludf.DUMMYFUNCTION("""COMPUTED_VALUE"""),100.0)</f>
        <v>100</v>
      </c>
      <c r="J54" s="7">
        <f>IFERROR(__xludf.DUMMYFUNCTION("""COMPUTED_VALUE"""),100.0)</f>
        <v>100</v>
      </c>
      <c r="K54" s="7">
        <f>IFERROR(__xludf.DUMMYFUNCTION("""COMPUTED_VALUE"""),100.0)</f>
        <v>100</v>
      </c>
      <c r="L54" s="7">
        <f>IFERROR(__xludf.DUMMYFUNCTION("""COMPUTED_VALUE"""),100.0)</f>
        <v>100</v>
      </c>
    </row>
    <row r="55" ht="15.75" customHeight="1">
      <c r="A55" s="5" t="s">
        <v>26</v>
      </c>
      <c r="C55" s="5" t="s">
        <v>21</v>
      </c>
      <c r="D55" s="5" t="s">
        <v>70</v>
      </c>
      <c r="F55" s="7">
        <f>IFERROR(__xludf.DUMMYFUNCTION("""COMPUTED_VALUE"""),100.0)</f>
        <v>100</v>
      </c>
      <c r="G55" s="7">
        <f>IFERROR(__xludf.DUMMYFUNCTION("""COMPUTED_VALUE"""),100.0)</f>
        <v>100</v>
      </c>
      <c r="H55" s="7">
        <f>IFERROR(__xludf.DUMMYFUNCTION("""COMPUTED_VALUE"""),100.0)</f>
        <v>100</v>
      </c>
      <c r="I55" s="7">
        <f>IFERROR(__xludf.DUMMYFUNCTION("""COMPUTED_VALUE"""),100.0)</f>
        <v>100</v>
      </c>
      <c r="J55" s="7">
        <f>IFERROR(__xludf.DUMMYFUNCTION("""COMPUTED_VALUE"""),100.0)</f>
        <v>100</v>
      </c>
      <c r="K55" s="7">
        <f>IFERROR(__xludf.DUMMYFUNCTION("""COMPUTED_VALUE"""),100.0)</f>
        <v>100</v>
      </c>
      <c r="L55" s="7">
        <f>IFERROR(__xludf.DUMMYFUNCTION("""COMPUTED_VALUE"""),100.0)</f>
        <v>100</v>
      </c>
    </row>
    <row r="56" ht="15.75" customHeight="1">
      <c r="A56" s="5" t="s">
        <v>26</v>
      </c>
      <c r="C56" s="5" t="s">
        <v>21</v>
      </c>
      <c r="D56" s="5" t="s">
        <v>73</v>
      </c>
      <c r="F56" s="7">
        <f>IFERROR(__xludf.DUMMYFUNCTION("""COMPUTED_VALUE"""),100.0)</f>
        <v>100</v>
      </c>
      <c r="G56" s="7">
        <f>IFERROR(__xludf.DUMMYFUNCTION("""COMPUTED_VALUE"""),100.0)</f>
        <v>100</v>
      </c>
      <c r="H56" s="7">
        <f>IFERROR(__xludf.DUMMYFUNCTION("""COMPUTED_VALUE"""),100.0)</f>
        <v>100</v>
      </c>
      <c r="I56" s="7">
        <f>IFERROR(__xludf.DUMMYFUNCTION("""COMPUTED_VALUE"""),100.0)</f>
        <v>100</v>
      </c>
      <c r="J56" s="7">
        <f>IFERROR(__xludf.DUMMYFUNCTION("""COMPUTED_VALUE"""),100.0)</f>
        <v>100</v>
      </c>
      <c r="K56" s="7">
        <f>IFERROR(__xludf.DUMMYFUNCTION("""COMPUTED_VALUE"""),100.0)</f>
        <v>100</v>
      </c>
      <c r="L56" s="7">
        <f>IFERROR(__xludf.DUMMYFUNCTION("""COMPUTED_VALUE"""),100.0)</f>
        <v>100</v>
      </c>
    </row>
    <row r="57" ht="15.75" customHeight="1">
      <c r="A57" s="5" t="s">
        <v>26</v>
      </c>
      <c r="C57" s="5" t="s">
        <v>21</v>
      </c>
      <c r="D57" s="5" t="s">
        <v>74</v>
      </c>
      <c r="F57" s="7">
        <f>IFERROR(__xludf.DUMMYFUNCTION("""COMPUTED_VALUE"""),100.0)</f>
        <v>100</v>
      </c>
      <c r="G57" s="7">
        <f>IFERROR(__xludf.DUMMYFUNCTION("""COMPUTED_VALUE"""),100.0)</f>
        <v>100</v>
      </c>
      <c r="H57" s="7">
        <f>IFERROR(__xludf.DUMMYFUNCTION("""COMPUTED_VALUE"""),100.0)</f>
        <v>100</v>
      </c>
      <c r="I57" s="7">
        <f>IFERROR(__xludf.DUMMYFUNCTION("""COMPUTED_VALUE"""),100.0)</f>
        <v>100</v>
      </c>
      <c r="J57" s="7">
        <f>IFERROR(__xludf.DUMMYFUNCTION("""COMPUTED_VALUE"""),100.0)</f>
        <v>100</v>
      </c>
      <c r="K57" s="7">
        <f>IFERROR(__xludf.DUMMYFUNCTION("""COMPUTED_VALUE"""),100.0)</f>
        <v>100</v>
      </c>
      <c r="L57" s="7">
        <f>IFERROR(__xludf.DUMMYFUNCTION("""COMPUTED_VALUE"""),100.0)</f>
        <v>100</v>
      </c>
    </row>
    <row r="58" ht="15.75" customHeight="1">
      <c r="A58" s="5" t="s">
        <v>26</v>
      </c>
      <c r="C58" s="5" t="s">
        <v>21</v>
      </c>
      <c r="D58" s="5" t="s">
        <v>75</v>
      </c>
      <c r="E58" s="5">
        <v>5.0</v>
      </c>
      <c r="F58" s="7">
        <f>IFERROR(__xludf.DUMMYFUNCTION("""COMPUTED_VALUE"""),100.0)</f>
        <v>100</v>
      </c>
      <c r="G58" s="7">
        <f>IFERROR(__xludf.DUMMYFUNCTION("""COMPUTED_VALUE"""),100.0)</f>
        <v>100</v>
      </c>
      <c r="H58" s="7">
        <f>IFERROR(__xludf.DUMMYFUNCTION("""COMPUTED_VALUE"""),100.0)</f>
        <v>100</v>
      </c>
      <c r="I58" s="7">
        <f>IFERROR(__xludf.DUMMYFUNCTION("""COMPUTED_VALUE"""),100.0)</f>
        <v>100</v>
      </c>
      <c r="J58" s="7">
        <f>IFERROR(__xludf.DUMMYFUNCTION("""COMPUTED_VALUE"""),100.0)</f>
        <v>100</v>
      </c>
      <c r="K58" s="7">
        <f>IFERROR(__xludf.DUMMYFUNCTION("""COMPUTED_VALUE"""),100.0)</f>
        <v>100</v>
      </c>
      <c r="L58" s="7">
        <f>IFERROR(__xludf.DUMMYFUNCTION("""COMPUTED_VALUE"""),100.0)</f>
        <v>100</v>
      </c>
    </row>
    <row r="59" ht="15.75" customHeight="1">
      <c r="A59" s="5" t="s">
        <v>26</v>
      </c>
      <c r="B59" s="5">
        <v>5.0</v>
      </c>
      <c r="C59" s="5" t="s">
        <v>48</v>
      </c>
      <c r="D59" s="8" t="s">
        <v>76</v>
      </c>
      <c r="E59" s="5">
        <v>10.0</v>
      </c>
      <c r="F59" s="5"/>
      <c r="G59" s="5"/>
      <c r="H59" s="5"/>
      <c r="I59" s="5"/>
      <c r="J59" s="5"/>
      <c r="K59" s="5"/>
      <c r="L59" s="5"/>
    </row>
    <row r="60" ht="15.75" customHeight="1">
      <c r="A60" s="5" t="s">
        <v>26</v>
      </c>
      <c r="C60" s="5" t="s">
        <v>21</v>
      </c>
      <c r="D60" s="5" t="s">
        <v>79</v>
      </c>
      <c r="E60" s="5">
        <v>0.5</v>
      </c>
      <c r="F60" s="7">
        <f>IFERROR(__xludf.DUMMYFUNCTION("""COMPUTED_VALUE"""),71.94679564691656)</f>
        <v>71.94679565</v>
      </c>
      <c r="G60" s="7">
        <f>IFERROR(__xludf.DUMMYFUNCTION("""COMPUTED_VALUE"""),89.75609756097562)</f>
        <v>89.75609756</v>
      </c>
      <c r="H60" s="7">
        <f>IFERROR(__xludf.DUMMYFUNCTION("""COMPUTED_VALUE"""),92.1602787456446)</f>
        <v>92.16027875</v>
      </c>
      <c r="I60" s="7">
        <f>IFERROR(__xludf.DUMMYFUNCTION("""COMPUTED_VALUE"""),100.0)</f>
        <v>100</v>
      </c>
      <c r="J60" s="7">
        <f>IFERROR(__xludf.DUMMYFUNCTION("""COMPUTED_VALUE"""),91.84)</f>
        <v>91.84</v>
      </c>
      <c r="K60" s="7">
        <f>IFERROR(__xludf.DUMMYFUNCTION("""COMPUTED_VALUE"""),94.81481481481482)</f>
        <v>94.81481481</v>
      </c>
      <c r="L60" s="7">
        <f>IFERROR(__xludf.DUMMYFUNCTION("""COMPUTED_VALUE"""),90.36144578313254)</f>
        <v>90.36144578</v>
      </c>
    </row>
    <row r="61" ht="15.75" customHeight="1">
      <c r="A61" s="5" t="s">
        <v>26</v>
      </c>
      <c r="C61" s="5" t="s">
        <v>21</v>
      </c>
      <c r="D61" s="5" t="s">
        <v>81</v>
      </c>
      <c r="E61" s="5">
        <v>1.5</v>
      </c>
      <c r="F61" s="7">
        <f>IFERROR(__xludf.DUMMYFUNCTION("""COMPUTED_VALUE"""),115.60481752547635)</f>
        <v>115.6048175</v>
      </c>
      <c r="G61" s="7">
        <f>IFERROR(__xludf.DUMMYFUNCTION("""COMPUTED_VALUE"""),191.58098461543474)</f>
        <v>191.5809846</v>
      </c>
      <c r="H61" s="7">
        <f>IFERROR(__xludf.DUMMYFUNCTION("""COMPUTED_VALUE"""),228.04567992440923)</f>
        <v>228.0456799</v>
      </c>
      <c r="I61" s="7">
        <f>IFERROR(__xludf.DUMMYFUNCTION("""COMPUTED_VALUE"""),283.45020111002094)</f>
        <v>283.4502011</v>
      </c>
      <c r="J61" s="7">
        <f>IFERROR(__xludf.DUMMYFUNCTION("""COMPUTED_VALUE"""),205.73319132836338)</f>
        <v>205.7331913</v>
      </c>
      <c r="K61" s="7">
        <f>IFERROR(__xludf.DUMMYFUNCTION("""COMPUTED_VALUE"""),119.5281818705146)</f>
        <v>119.5281819</v>
      </c>
      <c r="L61" s="7">
        <f>IFERROR(__xludf.DUMMYFUNCTION("""COMPUTED_VALUE"""),218.0422562294786)</f>
        <v>218.0422562</v>
      </c>
    </row>
    <row r="62" ht="15.75" customHeight="1">
      <c r="A62" s="5" t="s">
        <v>26</v>
      </c>
      <c r="C62" s="5" t="s">
        <v>21</v>
      </c>
      <c r="D62" s="5" t="s">
        <v>82</v>
      </c>
      <c r="E62" s="5">
        <v>2.0</v>
      </c>
      <c r="F62" s="7">
        <f>IFERROR(__xludf.DUMMYFUNCTION("""COMPUTED_VALUE"""),58.77850619876332)</f>
        <v>58.7785062</v>
      </c>
      <c r="G62" s="7">
        <f>IFERROR(__xludf.DUMMYFUNCTION("""COMPUTED_VALUE"""),88.26862133853031)</f>
        <v>88.26862134</v>
      </c>
      <c r="H62" s="7">
        <f>IFERROR(__xludf.DUMMYFUNCTION("""COMPUTED_VALUE"""),112.51670181108491)</f>
        <v>112.5167018</v>
      </c>
      <c r="I62" s="7">
        <f>IFERROR(__xludf.DUMMYFUNCTION("""COMPUTED_VALUE"""),81.12297782432115)</f>
        <v>81.12297782</v>
      </c>
      <c r="J62" s="7">
        <f>IFERROR(__xludf.DUMMYFUNCTION("""COMPUTED_VALUE"""),83.41713996320583)</f>
        <v>83.41713996</v>
      </c>
      <c r="K62" s="7">
        <f>IFERROR(__xludf.DUMMYFUNCTION("""COMPUTED_VALUE"""),73.6876671400046)</f>
        <v>73.68766714</v>
      </c>
      <c r="L62" s="7">
        <f>IFERROR(__xludf.DUMMYFUNCTION("""COMPUTED_VALUE"""),59.10409665268599)</f>
        <v>59.10409665</v>
      </c>
    </row>
    <row r="63" ht="15.75" customHeight="1">
      <c r="A63" s="5" t="s">
        <v>26</v>
      </c>
      <c r="C63" s="5" t="s">
        <v>21</v>
      </c>
      <c r="D63" s="5" t="s">
        <v>83</v>
      </c>
      <c r="E63" s="5">
        <v>4.0</v>
      </c>
      <c r="F63" s="7">
        <f>IFERROR(__xludf.DUMMYFUNCTION("""COMPUTED_VALUE"""),100.0)</f>
        <v>100</v>
      </c>
      <c r="G63" s="7">
        <f>IFERROR(__xludf.DUMMYFUNCTION("""COMPUTED_VALUE"""),0.0)</f>
        <v>0</v>
      </c>
      <c r="H63" s="7">
        <f>IFERROR(__xludf.DUMMYFUNCTION("""COMPUTED_VALUE"""),0.0)</f>
        <v>0</v>
      </c>
      <c r="I63" s="7">
        <f>IFERROR(__xludf.DUMMYFUNCTION("""COMPUTED_VALUE"""),100.0)</f>
        <v>100</v>
      </c>
      <c r="J63" s="7">
        <f>IFERROR(__xludf.DUMMYFUNCTION("""COMPUTED_VALUE"""),0.0)</f>
        <v>0</v>
      </c>
      <c r="K63" s="7">
        <f>IFERROR(__xludf.DUMMYFUNCTION("""COMPUTED_VALUE"""),100.0)</f>
        <v>100</v>
      </c>
      <c r="L63" s="7">
        <f>IFERROR(__xludf.DUMMYFUNCTION("""COMPUTED_VALUE"""),100.0)</f>
        <v>100</v>
      </c>
    </row>
    <row r="64" ht="15.75" customHeight="1">
      <c r="A64" s="5" t="s">
        <v>26</v>
      </c>
      <c r="C64" s="5" t="s">
        <v>21</v>
      </c>
      <c r="D64" s="5" t="s">
        <v>84</v>
      </c>
      <c r="E64" s="5">
        <v>2.0</v>
      </c>
      <c r="F64" s="7">
        <f>IFERROR(__xludf.DUMMYFUNCTION("""COMPUTED_VALUE"""),100.0)</f>
        <v>100</v>
      </c>
      <c r="G64" s="7">
        <f>IFERROR(__xludf.DUMMYFUNCTION("""COMPUTED_VALUE"""),0.0)</f>
        <v>0</v>
      </c>
      <c r="H64" s="7">
        <f>IFERROR(__xludf.DUMMYFUNCTION("""COMPUTED_VALUE"""),0.0)</f>
        <v>0</v>
      </c>
      <c r="I64" s="7">
        <f>IFERROR(__xludf.DUMMYFUNCTION("""COMPUTED_VALUE"""),100.0)</f>
        <v>100</v>
      </c>
      <c r="J64" s="7">
        <f>IFERROR(__xludf.DUMMYFUNCTION("""COMPUTED_VALUE"""),0.0)</f>
        <v>0</v>
      </c>
      <c r="K64" s="7">
        <f>IFERROR(__xludf.DUMMYFUNCTION("""COMPUTED_VALUE"""),100.0)</f>
        <v>100</v>
      </c>
      <c r="L64" s="7">
        <f>IFERROR(__xludf.DUMMYFUNCTION("""COMPUTED_VALUE"""),100.0)</f>
        <v>100</v>
      </c>
    </row>
    <row r="65" ht="15.75" customHeight="1">
      <c r="A65" s="5" t="s">
        <v>26</v>
      </c>
      <c r="B65" s="5">
        <v>6.0</v>
      </c>
      <c r="C65" s="5" t="s">
        <v>48</v>
      </c>
      <c r="D65" s="8" t="s">
        <v>85</v>
      </c>
      <c r="E65" s="5">
        <v>8.0</v>
      </c>
      <c r="F65" s="5"/>
      <c r="G65" s="5"/>
      <c r="H65" s="5"/>
      <c r="I65" s="5"/>
      <c r="J65" s="5"/>
      <c r="K65" s="5"/>
      <c r="L65" s="5"/>
    </row>
    <row r="66" ht="15.75" customHeight="1">
      <c r="A66" s="5" t="s">
        <v>26</v>
      </c>
      <c r="C66" s="5" t="s">
        <v>21</v>
      </c>
      <c r="D66" s="5" t="s">
        <v>86</v>
      </c>
      <c r="E66" s="5">
        <v>2.0</v>
      </c>
      <c r="F66" s="7">
        <f>IFERROR(__xludf.DUMMYFUNCTION("""COMPUTED_VALUE"""),100.0)</f>
        <v>100</v>
      </c>
      <c r="G66" s="7">
        <f>IFERROR(__xludf.DUMMYFUNCTION("""COMPUTED_VALUE"""),100.0)</f>
        <v>100</v>
      </c>
      <c r="H66" s="7">
        <f>IFERROR(__xludf.DUMMYFUNCTION("""COMPUTED_VALUE"""),100.0)</f>
        <v>100</v>
      </c>
      <c r="I66" s="7">
        <f>IFERROR(__xludf.DUMMYFUNCTION("""COMPUTED_VALUE"""),100.0)</f>
        <v>100</v>
      </c>
      <c r="J66" s="7">
        <f>IFERROR(__xludf.DUMMYFUNCTION("""COMPUTED_VALUE"""),100.0)</f>
        <v>100</v>
      </c>
      <c r="K66" s="7">
        <f>IFERROR(__xludf.DUMMYFUNCTION("""COMPUTED_VALUE"""),100.0)</f>
        <v>100</v>
      </c>
      <c r="L66" s="7">
        <f>IFERROR(__xludf.DUMMYFUNCTION("""COMPUTED_VALUE"""),100.0)</f>
        <v>100</v>
      </c>
    </row>
    <row r="67" ht="15.75" customHeight="1">
      <c r="A67" s="5" t="s">
        <v>26</v>
      </c>
      <c r="C67" s="5" t="s">
        <v>21</v>
      </c>
      <c r="D67" s="5" t="s">
        <v>87</v>
      </c>
      <c r="E67" s="5">
        <v>2.0</v>
      </c>
      <c r="F67" s="7">
        <f>IFERROR(__xludf.DUMMYFUNCTION("""COMPUTED_VALUE"""),132.6)</f>
        <v>132.6</v>
      </c>
      <c r="G67" s="7">
        <f>IFERROR(__xludf.DUMMYFUNCTION("""COMPUTED_VALUE"""),141.51666666666665)</f>
        <v>141.5166667</v>
      </c>
      <c r="H67" s="7">
        <f>IFERROR(__xludf.DUMMYFUNCTION("""COMPUTED_VALUE"""),129.01666666666665)</f>
        <v>129.0166667</v>
      </c>
      <c r="I67" s="7">
        <f>IFERROR(__xludf.DUMMYFUNCTION("""COMPUTED_VALUE"""),136.08333333333334)</f>
        <v>136.0833333</v>
      </c>
      <c r="J67" s="7">
        <f>IFERROR(__xludf.DUMMYFUNCTION("""COMPUTED_VALUE"""),133.41666666666666)</f>
        <v>133.4166667</v>
      </c>
      <c r="K67" s="7">
        <f>IFERROR(__xludf.DUMMYFUNCTION("""COMPUTED_VALUE"""),132.71666666666667)</f>
        <v>132.7166667</v>
      </c>
      <c r="L67" s="7">
        <f>IFERROR(__xludf.DUMMYFUNCTION("""COMPUTED_VALUE"""),125.49999999999999)</f>
        <v>125.5</v>
      </c>
    </row>
    <row r="68" ht="15.75" customHeight="1">
      <c r="A68" s="5" t="s">
        <v>26</v>
      </c>
      <c r="C68" s="5" t="s">
        <v>21</v>
      </c>
      <c r="D68" s="5" t="s">
        <v>88</v>
      </c>
      <c r="E68" s="5">
        <v>2.0</v>
      </c>
      <c r="F68" s="7">
        <f>IFERROR(__xludf.DUMMYFUNCTION("""COMPUTED_VALUE"""),211.28266359015223)</f>
        <v>211.2826636</v>
      </c>
      <c r="G68" s="7">
        <f>IFERROR(__xludf.DUMMYFUNCTION("""COMPUTED_VALUE"""),175.27639982656862)</f>
        <v>175.2763998</v>
      </c>
      <c r="H68" s="7">
        <f>IFERROR(__xludf.DUMMYFUNCTION("""COMPUTED_VALUE"""),170.71024452465582)</f>
        <v>170.7102445</v>
      </c>
      <c r="I68" s="7">
        <f>IFERROR(__xludf.DUMMYFUNCTION("""COMPUTED_VALUE"""),157.37432729847342)</f>
        <v>157.3743273</v>
      </c>
      <c r="J68" s="7">
        <f>IFERROR(__xludf.DUMMYFUNCTION("""COMPUTED_VALUE"""),122.1537609972364)</f>
        <v>122.153761</v>
      </c>
      <c r="K68" s="7">
        <f>IFERROR(__xludf.DUMMYFUNCTION("""COMPUTED_VALUE"""),143.2553596040387)</f>
        <v>143.2553596</v>
      </c>
      <c r="L68" s="7">
        <f>IFERROR(__xludf.DUMMYFUNCTION("""COMPUTED_VALUE"""),119.4642089203698)</f>
        <v>119.4642089</v>
      </c>
    </row>
    <row r="69" ht="15.75" customHeight="1">
      <c r="A69" s="5" t="s">
        <v>26</v>
      </c>
      <c r="C69" s="5" t="s">
        <v>21</v>
      </c>
      <c r="D69" s="5" t="s">
        <v>89</v>
      </c>
      <c r="E69" s="5">
        <v>1.2</v>
      </c>
      <c r="F69" s="7">
        <f>IFERROR(__xludf.DUMMYFUNCTION("""COMPUTED_VALUE"""),140.96749811035525)</f>
        <v>140.9674981</v>
      </c>
      <c r="G69" s="7">
        <f>IFERROR(__xludf.DUMMYFUNCTION("""COMPUTED_VALUE"""),129.6460655915142)</f>
        <v>129.6460656</v>
      </c>
      <c r="H69" s="7">
        <f>IFERROR(__xludf.DUMMYFUNCTION("""COMPUTED_VALUE"""),177.4354633939907)</f>
        <v>177.4354634</v>
      </c>
      <c r="I69" s="7">
        <f>IFERROR(__xludf.DUMMYFUNCTION("""COMPUTED_VALUE"""),163.06754009487238)</f>
        <v>163.0675401</v>
      </c>
      <c r="J69" s="7">
        <f>IFERROR(__xludf.DUMMYFUNCTION("""COMPUTED_VALUE"""),139.8297547960869)</f>
        <v>139.8297548</v>
      </c>
      <c r="K69" s="7">
        <f>IFERROR(__xludf.DUMMYFUNCTION("""COMPUTED_VALUE"""),151.53328347045627)</f>
        <v>151.5332835</v>
      </c>
      <c r="L69" s="7">
        <f>IFERROR(__xludf.DUMMYFUNCTION("""COMPUTED_VALUE"""),175.1281359589965)</f>
        <v>175.128136</v>
      </c>
    </row>
    <row r="70" ht="15.75" customHeight="1">
      <c r="A70" s="5" t="s">
        <v>26</v>
      </c>
      <c r="C70" s="5" t="s">
        <v>21</v>
      </c>
      <c r="D70" s="5" t="s">
        <v>92</v>
      </c>
      <c r="E70" s="5">
        <v>0.8</v>
      </c>
      <c r="F70" s="7">
        <f>IFERROR(__xludf.DUMMYFUNCTION("""COMPUTED_VALUE"""),72.94965611173777)</f>
        <v>72.94965611</v>
      </c>
      <c r="G70" s="7">
        <f>IFERROR(__xludf.DUMMYFUNCTION("""COMPUTED_VALUE"""),100.71542560870186)</f>
        <v>100.7154256</v>
      </c>
      <c r="H70" s="7">
        <f>IFERROR(__xludf.DUMMYFUNCTION("""COMPUTED_VALUE"""),110.0)</f>
        <v>110</v>
      </c>
      <c r="I70" s="7">
        <f>IFERROR(__xludf.DUMMYFUNCTION("""COMPUTED_VALUE"""),110.0)</f>
        <v>110</v>
      </c>
      <c r="J70" s="7">
        <f>IFERROR(__xludf.DUMMYFUNCTION("""COMPUTED_VALUE"""),109.6507887335056)</f>
        <v>109.6507887</v>
      </c>
      <c r="K70" s="7">
        <f>IFERROR(__xludf.DUMMYFUNCTION("""COMPUTED_VALUE"""),110.0)</f>
        <v>110</v>
      </c>
      <c r="L70" s="7">
        <f>IFERROR(__xludf.DUMMYFUNCTION("""COMPUTED_VALUE"""),110.0)</f>
        <v>110</v>
      </c>
    </row>
    <row r="71" ht="15.75" customHeight="1">
      <c r="A71" s="5" t="s">
        <v>26</v>
      </c>
      <c r="B71" s="5">
        <v>7.0</v>
      </c>
      <c r="C71" s="5" t="s">
        <v>48</v>
      </c>
      <c r="D71" s="8" t="s">
        <v>94</v>
      </c>
      <c r="E71" s="5">
        <v>7.0</v>
      </c>
      <c r="F71" s="5"/>
      <c r="G71" s="5"/>
      <c r="H71" s="5"/>
      <c r="I71" s="5"/>
      <c r="J71" s="5"/>
      <c r="K71" s="5"/>
      <c r="L71" s="5"/>
    </row>
    <row r="72" ht="15.75" customHeight="1">
      <c r="A72" s="5" t="s">
        <v>26</v>
      </c>
      <c r="C72" s="5" t="s">
        <v>21</v>
      </c>
      <c r="D72" s="5" t="s">
        <v>95</v>
      </c>
      <c r="E72" s="5">
        <v>5.0</v>
      </c>
      <c r="F72" s="7">
        <f>IFERROR(__xludf.DUMMYFUNCTION("""COMPUTED_VALUE"""),147.22222222222223)</f>
        <v>147.2222222</v>
      </c>
      <c r="G72" s="7">
        <f>IFERROR(__xludf.DUMMYFUNCTION("""COMPUTED_VALUE"""),145.09803921568627)</f>
        <v>145.0980392</v>
      </c>
      <c r="H72" s="7">
        <f>IFERROR(__xludf.DUMMYFUNCTION("""COMPUTED_VALUE"""),133.66336633663366)</f>
        <v>133.6633663</v>
      </c>
      <c r="I72" s="7">
        <f>IFERROR(__xludf.DUMMYFUNCTION("""COMPUTED_VALUE"""),156.52173913043478)</f>
        <v>156.5217391</v>
      </c>
      <c r="J72" s="7">
        <f>IFERROR(__xludf.DUMMYFUNCTION("""COMPUTED_VALUE"""),153.7037037037037)</f>
        <v>153.7037037</v>
      </c>
      <c r="K72" s="7">
        <f>IFERROR(__xludf.DUMMYFUNCTION("""COMPUTED_VALUE"""),142.0)</f>
        <v>142</v>
      </c>
      <c r="L72" s="7">
        <f>IFERROR(__xludf.DUMMYFUNCTION("""COMPUTED_VALUE"""),142.85714285714286)</f>
        <v>142.8571429</v>
      </c>
    </row>
    <row r="73" ht="15.75" customHeight="1">
      <c r="A73" s="5" t="s">
        <v>26</v>
      </c>
      <c r="C73" s="5" t="s">
        <v>21</v>
      </c>
      <c r="D73" s="5" t="s">
        <v>96</v>
      </c>
      <c r="E73" s="5">
        <v>2.0</v>
      </c>
      <c r="F73" s="7">
        <f>IFERROR(__xludf.DUMMYFUNCTION("""COMPUTED_VALUE"""),0.0)</f>
        <v>0</v>
      </c>
      <c r="G73" s="7">
        <f>IFERROR(__xludf.DUMMYFUNCTION("""COMPUTED_VALUE"""),100.0)</f>
        <v>100</v>
      </c>
      <c r="H73" s="7">
        <f>IFERROR(__xludf.DUMMYFUNCTION("""COMPUTED_VALUE"""),100.0)</f>
        <v>100</v>
      </c>
      <c r="I73" s="7">
        <f>IFERROR(__xludf.DUMMYFUNCTION("""COMPUTED_VALUE"""),100.0)</f>
        <v>100</v>
      </c>
      <c r="J73" s="7">
        <f>IFERROR(__xludf.DUMMYFUNCTION("""COMPUTED_VALUE"""),100.0)</f>
        <v>100</v>
      </c>
      <c r="K73" s="7">
        <f>IFERROR(__xludf.DUMMYFUNCTION("""COMPUTED_VALUE"""),100.0)</f>
        <v>100</v>
      </c>
      <c r="L73" s="7">
        <f>IFERROR(__xludf.DUMMYFUNCTION("""COMPUTED_VALUE"""),100.0)</f>
        <v>100</v>
      </c>
    </row>
    <row r="74" ht="15.75" customHeight="1">
      <c r="A74" s="5" t="s">
        <v>26</v>
      </c>
      <c r="B74" s="5">
        <v>8.0</v>
      </c>
      <c r="C74" s="5" t="s">
        <v>48</v>
      </c>
      <c r="D74" s="8" t="s">
        <v>97</v>
      </c>
      <c r="E74" s="5">
        <v>8.0</v>
      </c>
      <c r="F74" s="5"/>
      <c r="G74" s="5"/>
      <c r="H74" s="5"/>
      <c r="I74" s="5"/>
      <c r="J74" s="5"/>
      <c r="K74" s="5"/>
      <c r="L74" s="5"/>
    </row>
    <row r="75" ht="15.75" customHeight="1">
      <c r="A75" s="5" t="s">
        <v>26</v>
      </c>
      <c r="C75" s="5" t="s">
        <v>21</v>
      </c>
      <c r="D75" s="5" t="s">
        <v>98</v>
      </c>
      <c r="E75" s="5">
        <v>6.0</v>
      </c>
      <c r="F75" s="7">
        <f>IFERROR(__xludf.DUMMYFUNCTION("""COMPUTED_VALUE"""),102.24222222222221)</f>
        <v>102.2422222</v>
      </c>
      <c r="G75" s="7">
        <f>IFERROR(__xludf.DUMMYFUNCTION("""COMPUTED_VALUE"""),110.00000000000001)</f>
        <v>110</v>
      </c>
      <c r="H75" s="7">
        <f>IFERROR(__xludf.DUMMYFUNCTION("""COMPUTED_VALUE"""),107.70518518518521)</f>
        <v>107.7051852</v>
      </c>
      <c r="I75" s="7">
        <f>IFERROR(__xludf.DUMMYFUNCTION("""COMPUTED_VALUE"""),110.00000000000001)</f>
        <v>110</v>
      </c>
      <c r="J75" s="7">
        <f>IFERROR(__xludf.DUMMYFUNCTION("""COMPUTED_VALUE"""),110.00000000000001)</f>
        <v>110</v>
      </c>
      <c r="K75" s="7">
        <f>IFERROR(__xludf.DUMMYFUNCTION("""COMPUTED_VALUE"""),110.00000000000001)</f>
        <v>110</v>
      </c>
      <c r="L75" s="7">
        <f>IFERROR(__xludf.DUMMYFUNCTION("""COMPUTED_VALUE"""),110.00000000000001)</f>
        <v>110</v>
      </c>
    </row>
    <row r="76" ht="15.75" customHeight="1">
      <c r="A76" s="5" t="s">
        <v>26</v>
      </c>
      <c r="C76" s="5" t="s">
        <v>21</v>
      </c>
      <c r="D76" s="5" t="s">
        <v>99</v>
      </c>
      <c r="E76" s="5">
        <v>2.0</v>
      </c>
      <c r="F76" s="7">
        <f>IFERROR(__xludf.DUMMYFUNCTION("""COMPUTED_VALUE"""),110.00000000000001)</f>
        <v>110</v>
      </c>
      <c r="G76" s="7">
        <f>IFERROR(__xludf.DUMMYFUNCTION("""COMPUTED_VALUE"""),110.00000000000001)</f>
        <v>110</v>
      </c>
      <c r="H76" s="7">
        <f>IFERROR(__xludf.DUMMYFUNCTION("""COMPUTED_VALUE"""),110.00000000000001)</f>
        <v>110</v>
      </c>
      <c r="I76" s="7">
        <f>IFERROR(__xludf.DUMMYFUNCTION("""COMPUTED_VALUE"""),110.00000000000001)</f>
        <v>110</v>
      </c>
      <c r="J76" s="7">
        <f>IFERROR(__xludf.DUMMYFUNCTION("""COMPUTED_VALUE"""),110.00000000000001)</f>
        <v>110</v>
      </c>
      <c r="K76" s="7">
        <f>IFERROR(__xludf.DUMMYFUNCTION("""COMPUTED_VALUE"""),110.00000000000001)</f>
        <v>110</v>
      </c>
      <c r="L76" s="7">
        <f>IFERROR(__xludf.DUMMYFUNCTION("""COMPUTED_VALUE"""),110.00000000000001)</f>
        <v>110</v>
      </c>
    </row>
    <row r="77" ht="15.75" customHeight="1">
      <c r="A77" s="5" t="s">
        <v>26</v>
      </c>
      <c r="B77" s="5">
        <v>9.0</v>
      </c>
      <c r="C77" s="5" t="s">
        <v>48</v>
      </c>
      <c r="D77" s="8" t="s">
        <v>101</v>
      </c>
      <c r="E77" s="5">
        <v>6.0</v>
      </c>
      <c r="F77" s="5"/>
      <c r="G77" s="5"/>
      <c r="H77" s="5"/>
      <c r="I77" s="5"/>
      <c r="J77" s="5"/>
      <c r="K77" s="5"/>
      <c r="L77" s="5"/>
    </row>
    <row r="78" ht="15.75" customHeight="1">
      <c r="A78" s="5" t="s">
        <v>26</v>
      </c>
      <c r="C78" s="5" t="s">
        <v>21</v>
      </c>
      <c r="D78" s="5" t="s">
        <v>102</v>
      </c>
      <c r="E78" s="5">
        <v>2.0</v>
      </c>
      <c r="F78" s="7">
        <f>IFERROR(__xludf.DUMMYFUNCTION("""COMPUTED_VALUE"""),713.6107687962507)</f>
        <v>713.6107688</v>
      </c>
      <c r="G78" s="7">
        <f>IFERROR(__xludf.DUMMYFUNCTION("""COMPUTED_VALUE"""),497.971377602368)</f>
        <v>497.9713776</v>
      </c>
      <c r="H78" s="7">
        <f>IFERROR(__xludf.DUMMYFUNCTION("""COMPUTED_VALUE"""),140.32539564157926)</f>
        <v>140.3253956</v>
      </c>
      <c r="I78" s="7">
        <f>IFERROR(__xludf.DUMMYFUNCTION("""COMPUTED_VALUE"""),142.15277761425935)</f>
        <v>142.1527776</v>
      </c>
      <c r="J78" s="7">
        <f>IFERROR(__xludf.DUMMYFUNCTION("""COMPUTED_VALUE"""),168.10275745693235)</f>
        <v>168.1027575</v>
      </c>
      <c r="K78" s="7">
        <f>IFERROR(__xludf.DUMMYFUNCTION("""COMPUTED_VALUE"""),224.53173722249628)</f>
        <v>224.5317372</v>
      </c>
      <c r="L78" s="7">
        <f>IFERROR(__xludf.DUMMYFUNCTION("""COMPUTED_VALUE"""),159.32119967932903)</f>
        <v>159.3211997</v>
      </c>
    </row>
    <row r="79" ht="15.75" customHeight="1">
      <c r="A79" s="5" t="s">
        <v>26</v>
      </c>
      <c r="C79" s="5" t="s">
        <v>21</v>
      </c>
      <c r="D79" s="5" t="s">
        <v>103</v>
      </c>
      <c r="E79" s="5">
        <v>2.0</v>
      </c>
      <c r="F79" s="7">
        <f>IFERROR(__xludf.DUMMYFUNCTION("""COMPUTED_VALUE"""),0.0)</f>
        <v>0</v>
      </c>
      <c r="G79" s="7">
        <f>IFERROR(__xludf.DUMMYFUNCTION("""COMPUTED_VALUE"""),0.0)</f>
        <v>0</v>
      </c>
      <c r="H79" s="7">
        <f>IFERROR(__xludf.DUMMYFUNCTION("""COMPUTED_VALUE"""),0.0)</f>
        <v>0</v>
      </c>
      <c r="I79" s="7">
        <f>IFERROR(__xludf.DUMMYFUNCTION("""COMPUTED_VALUE"""),0.0)</f>
        <v>0</v>
      </c>
      <c r="J79" s="7">
        <f>IFERROR(__xludf.DUMMYFUNCTION("""COMPUTED_VALUE"""),0.0)</f>
        <v>0</v>
      </c>
      <c r="K79" s="7">
        <f>IFERROR(__xludf.DUMMYFUNCTION("""COMPUTED_VALUE"""),0.0)</f>
        <v>0</v>
      </c>
      <c r="L79" s="7">
        <f>IFERROR(__xludf.DUMMYFUNCTION("""COMPUTED_VALUE"""),0.0)</f>
        <v>0</v>
      </c>
    </row>
    <row r="80" ht="15.75" customHeight="1">
      <c r="A80" s="5" t="s">
        <v>26</v>
      </c>
      <c r="C80" s="5" t="s">
        <v>21</v>
      </c>
      <c r="D80" s="5" t="s">
        <v>104</v>
      </c>
      <c r="E80" s="5">
        <v>2.0</v>
      </c>
      <c r="F80" s="7">
        <f>IFERROR(__xludf.DUMMYFUNCTION("""COMPUTED_VALUE"""),100.0)</f>
        <v>100</v>
      </c>
      <c r="G80" s="7">
        <f>IFERROR(__xludf.DUMMYFUNCTION("""COMPUTED_VALUE"""),100.0)</f>
        <v>100</v>
      </c>
      <c r="H80" s="7">
        <f>IFERROR(__xludf.DUMMYFUNCTION("""COMPUTED_VALUE"""),100.0)</f>
        <v>100</v>
      </c>
      <c r="I80" s="7">
        <f>IFERROR(__xludf.DUMMYFUNCTION("""COMPUTED_VALUE"""),100.0)</f>
        <v>100</v>
      </c>
      <c r="J80" s="7">
        <f>IFERROR(__xludf.DUMMYFUNCTION("""COMPUTED_VALUE"""),100.0)</f>
        <v>100</v>
      </c>
      <c r="K80" s="7">
        <f>IFERROR(__xludf.DUMMYFUNCTION("""COMPUTED_VALUE"""),100.0)</f>
        <v>100</v>
      </c>
      <c r="L80" s="7">
        <f>IFERROR(__xludf.DUMMYFUNCTION("""COMPUTED_VALUE"""),100.0)</f>
        <v>100</v>
      </c>
    </row>
    <row r="81" ht="15.75" customHeight="1">
      <c r="A81" s="5" t="s">
        <v>26</v>
      </c>
      <c r="B81" s="5">
        <v>10.0</v>
      </c>
      <c r="C81" s="5" t="s">
        <v>48</v>
      </c>
      <c r="D81" s="8" t="s">
        <v>107</v>
      </c>
      <c r="E81" s="5">
        <v>7.0</v>
      </c>
      <c r="F81" s="5"/>
      <c r="G81" s="5"/>
      <c r="H81" s="5"/>
      <c r="I81" s="5"/>
      <c r="J81" s="5"/>
      <c r="K81" s="5"/>
      <c r="L81" s="5"/>
    </row>
    <row r="82" ht="15.75" customHeight="1">
      <c r="A82" s="5" t="s">
        <v>26</v>
      </c>
      <c r="C82" s="5" t="s">
        <v>21</v>
      </c>
      <c r="D82" s="5" t="s">
        <v>108</v>
      </c>
      <c r="E82" s="5">
        <v>3.0</v>
      </c>
      <c r="F82" s="7">
        <f>IFERROR(__xludf.DUMMYFUNCTION("""COMPUTED_VALUE"""),32.14671299295291)</f>
        <v>32.14671299</v>
      </c>
      <c r="G82" s="7">
        <f>IFERROR(__xludf.DUMMYFUNCTION("""COMPUTED_VALUE"""),40.13944124653621)</f>
        <v>40.13944125</v>
      </c>
      <c r="H82" s="7">
        <f>IFERROR(__xludf.DUMMYFUNCTION("""COMPUTED_VALUE"""),83.19657918327019)</f>
        <v>83.19657918</v>
      </c>
      <c r="I82" s="7">
        <f>IFERROR(__xludf.DUMMYFUNCTION("""COMPUTED_VALUE"""),49.49199334111388)</f>
        <v>49.49199334</v>
      </c>
      <c r="J82" s="7">
        <f>IFERROR(__xludf.DUMMYFUNCTION("""COMPUTED_VALUE"""),45.33312672976684)</f>
        <v>45.33312673</v>
      </c>
      <c r="K82" s="7">
        <f>IFERROR(__xludf.DUMMYFUNCTION("""COMPUTED_VALUE"""),43.768432895061956)</f>
        <v>43.7684329</v>
      </c>
      <c r="L82" s="7">
        <f>IFERROR(__xludf.DUMMYFUNCTION("""COMPUTED_VALUE"""),89.48610410359906)</f>
        <v>89.4861041</v>
      </c>
    </row>
    <row r="83" ht="15.75" customHeight="1">
      <c r="A83" s="5" t="s">
        <v>26</v>
      </c>
      <c r="C83" s="5" t="s">
        <v>21</v>
      </c>
      <c r="D83" s="5" t="s">
        <v>109</v>
      </c>
      <c r="E83" s="5">
        <v>2.0</v>
      </c>
      <c r="F83" s="7">
        <f>IFERROR(__xludf.DUMMYFUNCTION("""COMPUTED_VALUE"""),174.42922374429224)</f>
        <v>174.4292237</v>
      </c>
      <c r="G83" s="7">
        <f>IFERROR(__xludf.DUMMYFUNCTION("""COMPUTED_VALUE"""),157.69230769230768)</f>
        <v>157.6923077</v>
      </c>
      <c r="H83" s="7">
        <f>IFERROR(__xludf.DUMMYFUNCTION("""COMPUTED_VALUE"""),300.0)</f>
        <v>300</v>
      </c>
      <c r="I83" s="7">
        <f>IFERROR(__xludf.DUMMYFUNCTION("""COMPUTED_VALUE"""),293.10344827586204)</f>
        <v>293.1034483</v>
      </c>
      <c r="J83" s="7">
        <f>IFERROR(__xludf.DUMMYFUNCTION("""COMPUTED_VALUE"""),114.93212669683257)</f>
        <v>114.9321267</v>
      </c>
      <c r="K83" s="7">
        <f>IFERROR(__xludf.DUMMYFUNCTION("""COMPUTED_VALUE"""),136.87150837988827)</f>
        <v>136.8715084</v>
      </c>
      <c r="L83" s="7">
        <f>IFERROR(__xludf.DUMMYFUNCTION("""COMPUTED_VALUE"""),136.48068669527896)</f>
        <v>136.4806867</v>
      </c>
    </row>
    <row r="84" ht="15.75" customHeight="1">
      <c r="A84" s="5" t="s">
        <v>26</v>
      </c>
      <c r="C84" s="5" t="s">
        <v>21</v>
      </c>
      <c r="D84" s="5" t="s">
        <v>110</v>
      </c>
      <c r="E84" s="5">
        <v>2.0</v>
      </c>
      <c r="F84" s="7">
        <f>IFERROR(__xludf.DUMMYFUNCTION("""COMPUTED_VALUE"""),100.0)</f>
        <v>100</v>
      </c>
      <c r="G84" s="7">
        <f>IFERROR(__xludf.DUMMYFUNCTION("""COMPUTED_VALUE"""),100.0)</f>
        <v>100</v>
      </c>
      <c r="H84" s="7">
        <f>IFERROR(__xludf.DUMMYFUNCTION("""COMPUTED_VALUE"""),100.0)</f>
        <v>100</v>
      </c>
      <c r="I84" s="7">
        <f>IFERROR(__xludf.DUMMYFUNCTION("""COMPUTED_VALUE"""),100.0)</f>
        <v>100</v>
      </c>
      <c r="J84" s="7">
        <f>IFERROR(__xludf.DUMMYFUNCTION("""COMPUTED_VALUE"""),100.0)</f>
        <v>100</v>
      </c>
      <c r="K84" s="7">
        <f>IFERROR(__xludf.DUMMYFUNCTION("""COMPUTED_VALUE"""),100.0)</f>
        <v>100</v>
      </c>
      <c r="L84" s="7">
        <f>IFERROR(__xludf.DUMMYFUNCTION("""COMPUTED_VALUE"""),100.0)</f>
        <v>100</v>
      </c>
    </row>
    <row r="85" ht="15.75" customHeight="1">
      <c r="A85" s="5" t="s">
        <v>26</v>
      </c>
      <c r="B85" s="15">
        <v>11.0</v>
      </c>
      <c r="C85" s="5" t="s">
        <v>48</v>
      </c>
      <c r="D85" s="8" t="s">
        <v>111</v>
      </c>
      <c r="E85" s="15">
        <v>4.0</v>
      </c>
      <c r="F85" s="5"/>
      <c r="G85" s="5"/>
      <c r="H85" s="5"/>
      <c r="I85" s="5"/>
      <c r="J85" s="5"/>
      <c r="K85" s="5"/>
      <c r="L85" s="5"/>
    </row>
    <row r="86" ht="15.75" customHeight="1">
      <c r="A86" s="5" t="s">
        <v>26</v>
      </c>
      <c r="C86" s="5" t="b">
        <v>0</v>
      </c>
      <c r="D86" s="15" t="s">
        <v>112</v>
      </c>
      <c r="E86" s="15">
        <v>2.0</v>
      </c>
      <c r="F86" s="7">
        <f>IFERROR(__xludf.DUMMYFUNCTION("""COMPUTED_VALUE"""),101.66999999999999)</f>
        <v>101.67</v>
      </c>
      <c r="G86" s="7">
        <f>IFERROR(__xludf.DUMMYFUNCTION("""COMPUTED_VALUE"""),101.66999999999999)</f>
        <v>101.67</v>
      </c>
      <c r="H86" s="7">
        <f>IFERROR(__xludf.DUMMYFUNCTION("""COMPUTED_VALUE"""),101.66999999999999)</f>
        <v>101.67</v>
      </c>
      <c r="I86" s="7">
        <f>IFERROR(__xludf.DUMMYFUNCTION("""COMPUTED_VALUE"""),101.66999999999999)</f>
        <v>101.67</v>
      </c>
      <c r="J86" s="7">
        <f>IFERROR(__xludf.DUMMYFUNCTION("""COMPUTED_VALUE"""),101.66999999999999)</f>
        <v>101.67</v>
      </c>
      <c r="K86" s="7">
        <f>IFERROR(__xludf.DUMMYFUNCTION("""COMPUTED_VALUE"""),101.66999999999999)</f>
        <v>101.67</v>
      </c>
      <c r="L86" s="7">
        <f>IFERROR(__xludf.DUMMYFUNCTION("""COMPUTED_VALUE"""),101.66999999999999)</f>
        <v>101.67</v>
      </c>
    </row>
    <row r="87" ht="15.75" customHeight="1">
      <c r="A87" s="5" t="s">
        <v>26</v>
      </c>
      <c r="C87" s="5" t="s">
        <v>21</v>
      </c>
      <c r="D87" s="15" t="s">
        <v>113</v>
      </c>
      <c r="E87" s="15">
        <v>2.0</v>
      </c>
      <c r="F87" s="7">
        <f>IFERROR(__xludf.DUMMYFUNCTION("""COMPUTED_VALUE"""),100.0)</f>
        <v>100</v>
      </c>
      <c r="G87" s="7">
        <f>IFERROR(__xludf.DUMMYFUNCTION("""COMPUTED_VALUE"""),100.0)</f>
        <v>100</v>
      </c>
      <c r="H87" s="7">
        <f>IFERROR(__xludf.DUMMYFUNCTION("""COMPUTED_VALUE"""),100.0)</f>
        <v>100</v>
      </c>
      <c r="I87" s="7">
        <f>IFERROR(__xludf.DUMMYFUNCTION("""COMPUTED_VALUE"""),100.0)</f>
        <v>100</v>
      </c>
      <c r="J87" s="7">
        <f>IFERROR(__xludf.DUMMYFUNCTION("""COMPUTED_VALUE"""),100.0)</f>
        <v>100</v>
      </c>
      <c r="K87" s="7">
        <f>IFERROR(__xludf.DUMMYFUNCTION("""COMPUTED_VALUE"""),100.0)</f>
        <v>100</v>
      </c>
      <c r="L87" s="7">
        <f>IFERROR(__xludf.DUMMYFUNCTION("""COMPUTED_VALUE"""),100.0)</f>
        <v>100</v>
      </c>
    </row>
    <row r="88" ht="15.75" customHeight="1">
      <c r="A88" s="5" t="s">
        <v>26</v>
      </c>
      <c r="B88" s="15">
        <v>12.0</v>
      </c>
      <c r="C88" s="5" t="s">
        <v>48</v>
      </c>
      <c r="D88" s="8" t="s">
        <v>117</v>
      </c>
    </row>
    <row r="89" ht="15.75" customHeight="1">
      <c r="A89" s="5" t="s">
        <v>26</v>
      </c>
      <c r="C89" s="5" t="s">
        <v>21</v>
      </c>
      <c r="D89" s="15" t="s">
        <v>118</v>
      </c>
    </row>
    <row r="90" ht="15.75" customHeight="1">
      <c r="A90" s="5" t="s">
        <v>26</v>
      </c>
      <c r="C90" s="5" t="s">
        <v>21</v>
      </c>
      <c r="D90" s="15" t="s">
        <v>119</v>
      </c>
    </row>
    <row r="91" ht="15.75" customHeight="1">
      <c r="A91" s="5" t="s">
        <v>26</v>
      </c>
      <c r="C91" s="5" t="s">
        <v>21</v>
      </c>
      <c r="D91" s="15" t="s">
        <v>120</v>
      </c>
    </row>
    <row r="92" ht="15.75" customHeight="1">
      <c r="A92" s="5" t="s">
        <v>37</v>
      </c>
      <c r="B92" s="5">
        <v>1.0</v>
      </c>
      <c r="C92" s="5" t="s">
        <v>21</v>
      </c>
      <c r="D92" s="5" t="s">
        <v>23</v>
      </c>
      <c r="E92" s="5">
        <v>14.0</v>
      </c>
      <c r="F92" s="7">
        <f>IFERROR(__xludf.DUMMYFUNCTION("IMPORTRANGE(""1e7--NjE9N54w7uxIeTVQ2x149gW2CjGTf8gPedLtEqw"",""MDK!BT5:BT45"")"),81.40700772940971)</f>
        <v>81.40700773</v>
      </c>
      <c r="G92" s="7">
        <f>IFERROR(__xludf.DUMMYFUNCTION("IMPORTRANGE(""1e7--NjE9N54w7uxIeTVQ2x149gW2CjGTf8gPedLtEqw"",""MGT!BT5:BT45"")"),81.25136143079217)</f>
        <v>81.25136143</v>
      </c>
      <c r="H92" s="7">
        <f>IFERROR(__xludf.DUMMYFUNCTION("IMPORTRANGE(""1e7--NjE9N54w7uxIeTVQ2x149gW2CjGTf8gPedLtEqw"",""NGW!BT5:BT45"")"),91.0220647095032)</f>
        <v>91.02206471</v>
      </c>
      <c r="I92" s="7">
        <f>IFERROR(__xludf.DUMMYFUNCTION("IMPORTRANGE(""1e7--NjE9N54w7uxIeTVQ2x149gW2CjGTf8gPedLtEqw"",""MPT!BT5:BT45"")"),86.52945660835647)</f>
        <v>86.52945661</v>
      </c>
      <c r="J92" s="7">
        <f>IFERROR(__xludf.DUMMYFUNCTION("IMPORTRANGE(""1e7--NjE9N54w7uxIeTVQ2x149gW2CjGTf8gPedLtEqw"",""CRB!BT5:BT45"")"),94.29531851998874)</f>
        <v>94.29531852</v>
      </c>
      <c r="K92" s="7">
        <f>IFERROR(__xludf.DUMMYFUNCTION("IMPORTRANGE(""1e7--NjE9N54w7uxIeTVQ2x149gW2CjGTf8gPedLtEqw"",""DLP!BT5:BT45"")"),80.3238529956478)</f>
        <v>80.323853</v>
      </c>
      <c r="L92" s="7">
        <f>IFERROR(__xludf.DUMMYFUNCTION("IMPORTRANGE(""1e7--NjE9N54w7uxIeTVQ2x149gW2CjGTf8gPedLtEqw"",""MTN!BT5:BT45"")"),79.35040172061922)</f>
        <v>79.35040172</v>
      </c>
    </row>
    <row r="93" ht="15.75" customHeight="1">
      <c r="A93" s="5" t="s">
        <v>37</v>
      </c>
      <c r="B93" s="5">
        <v>2.0</v>
      </c>
      <c r="C93" s="5" t="s">
        <v>21</v>
      </c>
      <c r="D93" s="5" t="s">
        <v>40</v>
      </c>
      <c r="E93" s="5">
        <v>12.0</v>
      </c>
      <c r="F93" s="7">
        <f>IFERROR(__xludf.DUMMYFUNCTION("""COMPUTED_VALUE"""),124.85066801972641)</f>
        <v>124.850668</v>
      </c>
      <c r="G93" s="7">
        <f>IFERROR(__xludf.DUMMYFUNCTION("""COMPUTED_VALUE"""),96.3239657989641)</f>
        <v>96.3239658</v>
      </c>
      <c r="H93" s="7">
        <f>IFERROR(__xludf.DUMMYFUNCTION("""COMPUTED_VALUE"""),111.835018806666)</f>
        <v>111.8350188</v>
      </c>
      <c r="I93" s="7">
        <f>IFERROR(__xludf.DUMMYFUNCTION("""COMPUTED_VALUE"""),106.51142336475546)</f>
        <v>106.5114234</v>
      </c>
      <c r="J93" s="7">
        <f>IFERROR(__xludf.DUMMYFUNCTION("""COMPUTED_VALUE"""),91.49765774372314)</f>
        <v>91.49765774</v>
      </c>
      <c r="K93" s="7">
        <f>IFERROR(__xludf.DUMMYFUNCTION("""COMPUTED_VALUE"""),96.50576195874973)</f>
        <v>96.50576196</v>
      </c>
      <c r="L93" s="7">
        <f>IFERROR(__xludf.DUMMYFUNCTION("""COMPUTED_VALUE"""),104.16139858626292)</f>
        <v>104.1613986</v>
      </c>
    </row>
    <row r="94" ht="15.75" customHeight="1">
      <c r="A94" s="5" t="s">
        <v>37</v>
      </c>
      <c r="B94" s="5">
        <v>3.0</v>
      </c>
      <c r="C94" s="5" t="s">
        <v>48</v>
      </c>
      <c r="D94" s="8" t="s">
        <v>49</v>
      </c>
      <c r="E94" s="5">
        <v>14.0</v>
      </c>
      <c r="F94" s="5"/>
      <c r="G94" s="5"/>
      <c r="H94" s="5"/>
      <c r="I94" s="5"/>
      <c r="J94" s="5"/>
      <c r="K94" s="5"/>
      <c r="L94" s="5"/>
    </row>
    <row r="95" ht="15.75" customHeight="1">
      <c r="A95" s="5" t="s">
        <v>37</v>
      </c>
      <c r="C95" s="5" t="s">
        <v>21</v>
      </c>
      <c r="D95" s="5" t="s">
        <v>51</v>
      </c>
      <c r="E95" s="5">
        <v>6.0</v>
      </c>
      <c r="F95" s="7">
        <f>IFERROR(__xludf.DUMMYFUNCTION("""COMPUTED_VALUE"""),102.39351859881718)</f>
        <v>102.3935186</v>
      </c>
      <c r="G95" s="7">
        <f>IFERROR(__xludf.DUMMYFUNCTION("""COMPUTED_VALUE"""),103.46947010928136)</f>
        <v>103.4694701</v>
      </c>
      <c r="H95" s="7">
        <f>IFERROR(__xludf.DUMMYFUNCTION("""COMPUTED_VALUE"""),101.028381298388)</f>
        <v>101.0283813</v>
      </c>
      <c r="I95" s="7">
        <f>IFERROR(__xludf.DUMMYFUNCTION("""COMPUTED_VALUE"""),103.44377632750201)</f>
        <v>103.4437763</v>
      </c>
      <c r="J95" s="7">
        <f>IFERROR(__xludf.DUMMYFUNCTION("""COMPUTED_VALUE"""),100.07763831474902)</f>
        <v>100.0776383</v>
      </c>
      <c r="K95" s="7">
        <f>IFERROR(__xludf.DUMMYFUNCTION("""COMPUTED_VALUE"""),100.01530803571941)</f>
        <v>100.015308</v>
      </c>
      <c r="L95" s="7">
        <f>IFERROR(__xludf.DUMMYFUNCTION("""COMPUTED_VALUE"""),107.01129646983136)</f>
        <v>107.0112965</v>
      </c>
    </row>
    <row r="96" ht="15.75" customHeight="1">
      <c r="A96" s="5" t="s">
        <v>37</v>
      </c>
      <c r="C96" s="5" t="s">
        <v>21</v>
      </c>
      <c r="D96" s="5" t="s">
        <v>53</v>
      </c>
      <c r="E96" s="5">
        <v>6.0</v>
      </c>
      <c r="F96" s="7">
        <f>IFERROR(__xludf.DUMMYFUNCTION("""COMPUTED_VALUE"""),101.71975890455663)</f>
        <v>101.7197589</v>
      </c>
      <c r="G96" s="7">
        <f>IFERROR(__xludf.DUMMYFUNCTION("""COMPUTED_VALUE"""),101.04729413804714)</f>
        <v>101.0472941</v>
      </c>
      <c r="H96" s="7">
        <f>IFERROR(__xludf.DUMMYFUNCTION("""COMPUTED_VALUE"""),103.18452727402105)</f>
        <v>103.1845273</v>
      </c>
      <c r="I96" s="7">
        <f>IFERROR(__xludf.DUMMYFUNCTION("""COMPUTED_VALUE"""),102.61989382953753)</f>
        <v>102.6198938</v>
      </c>
      <c r="J96" s="7">
        <f>IFERROR(__xludf.DUMMYFUNCTION("""COMPUTED_VALUE"""),100.10252777132989)</f>
        <v>100.1025278</v>
      </c>
      <c r="K96" s="7">
        <f>IFERROR(__xludf.DUMMYFUNCTION("""COMPUTED_VALUE"""),100.02149077520208)</f>
        <v>100.0214908</v>
      </c>
      <c r="L96" s="7">
        <f>IFERROR(__xludf.DUMMYFUNCTION("""COMPUTED_VALUE"""),105.73854482527254)</f>
        <v>105.7385448</v>
      </c>
    </row>
    <row r="97" ht="15.75" customHeight="1">
      <c r="A97" s="5" t="s">
        <v>37</v>
      </c>
      <c r="C97" s="5" t="s">
        <v>21</v>
      </c>
      <c r="D97" s="5" t="s">
        <v>55</v>
      </c>
      <c r="E97" s="5">
        <v>2.0</v>
      </c>
      <c r="F97" s="7">
        <f>IFERROR(__xludf.DUMMYFUNCTION("""COMPUTED_VALUE"""),100.26803139834679)</f>
        <v>100.2680314</v>
      </c>
      <c r="G97" s="7">
        <f>IFERROR(__xludf.DUMMYFUNCTION("""COMPUTED_VALUE"""),100.65490332179988)</f>
        <v>100.6549033</v>
      </c>
      <c r="H97" s="7">
        <f>IFERROR(__xludf.DUMMYFUNCTION("""COMPUTED_VALUE"""),100.15973704120881)</f>
        <v>100.159737</v>
      </c>
      <c r="I97" s="7">
        <f>IFERROR(__xludf.DUMMYFUNCTION("""COMPUTED_VALUE"""),100.40186498580077)</f>
        <v>100.401865</v>
      </c>
      <c r="J97" s="7">
        <f>IFERROR(__xludf.DUMMYFUNCTION("""COMPUTED_VALUE"""),100.03031354317251)</f>
        <v>100.0303135</v>
      </c>
      <c r="K97" s="7">
        <f>IFERROR(__xludf.DUMMYFUNCTION("""COMPUTED_VALUE"""),100.00348184823342)</f>
        <v>100.0034818</v>
      </c>
      <c r="L97" s="7">
        <f>IFERROR(__xludf.DUMMYFUNCTION("""COMPUTED_VALUE"""),100.48950184473613)</f>
        <v>100.4895018</v>
      </c>
    </row>
    <row r="98" ht="15.75" customHeight="1">
      <c r="A98" s="5" t="s">
        <v>37</v>
      </c>
      <c r="B98" s="5">
        <v>4.0</v>
      </c>
      <c r="C98" s="5" t="s">
        <v>48</v>
      </c>
      <c r="D98" s="8" t="s">
        <v>62</v>
      </c>
      <c r="E98" s="5">
        <v>10.0</v>
      </c>
      <c r="F98" s="5"/>
      <c r="G98" s="5"/>
      <c r="H98" s="5"/>
      <c r="I98" s="5"/>
      <c r="J98" s="5"/>
      <c r="K98" s="5"/>
      <c r="L98" s="5"/>
    </row>
    <row r="99" ht="15.75" customHeight="1">
      <c r="A99" s="5" t="s">
        <v>37</v>
      </c>
      <c r="C99" s="5" t="s">
        <v>21</v>
      </c>
      <c r="D99" s="5" t="s">
        <v>64</v>
      </c>
      <c r="E99" s="5">
        <v>5.0</v>
      </c>
      <c r="F99" s="7">
        <f>IFERROR(__xludf.DUMMYFUNCTION("""COMPUTED_VALUE"""),100.0)</f>
        <v>100</v>
      </c>
      <c r="G99" s="7">
        <f>IFERROR(__xludf.DUMMYFUNCTION("""COMPUTED_VALUE"""),100.0)</f>
        <v>100</v>
      </c>
      <c r="H99" s="7">
        <f>IFERROR(__xludf.DUMMYFUNCTION("""COMPUTED_VALUE"""),100.0)</f>
        <v>100</v>
      </c>
      <c r="I99" s="7">
        <f>IFERROR(__xludf.DUMMYFUNCTION("""COMPUTED_VALUE"""),100.0)</f>
        <v>100</v>
      </c>
      <c r="J99" s="7">
        <f>IFERROR(__xludf.DUMMYFUNCTION("""COMPUTED_VALUE"""),100.0)</f>
        <v>100</v>
      </c>
      <c r="K99" s="7">
        <f>IFERROR(__xludf.DUMMYFUNCTION("""COMPUTED_VALUE"""),100.0)</f>
        <v>100</v>
      </c>
      <c r="L99" s="7">
        <f>IFERROR(__xludf.DUMMYFUNCTION("""COMPUTED_VALUE"""),100.0)</f>
        <v>100</v>
      </c>
    </row>
    <row r="100" ht="15.75" customHeight="1">
      <c r="A100" s="5" t="s">
        <v>37</v>
      </c>
      <c r="C100" s="5" t="s">
        <v>21</v>
      </c>
      <c r="D100" s="5" t="s">
        <v>70</v>
      </c>
      <c r="F100" s="7">
        <f>IFERROR(__xludf.DUMMYFUNCTION("""COMPUTED_VALUE"""),100.0)</f>
        <v>100</v>
      </c>
      <c r="G100" s="7">
        <f>IFERROR(__xludf.DUMMYFUNCTION("""COMPUTED_VALUE"""),100.0)</f>
        <v>100</v>
      </c>
      <c r="H100" s="7">
        <f>IFERROR(__xludf.DUMMYFUNCTION("""COMPUTED_VALUE"""),100.0)</f>
        <v>100</v>
      </c>
      <c r="I100" s="7">
        <f>IFERROR(__xludf.DUMMYFUNCTION("""COMPUTED_VALUE"""),100.0)</f>
        <v>100</v>
      </c>
      <c r="J100" s="7">
        <f>IFERROR(__xludf.DUMMYFUNCTION("""COMPUTED_VALUE"""),100.0)</f>
        <v>100</v>
      </c>
      <c r="K100" s="7">
        <f>IFERROR(__xludf.DUMMYFUNCTION("""COMPUTED_VALUE"""),100.0)</f>
        <v>100</v>
      </c>
      <c r="L100" s="7">
        <f>IFERROR(__xludf.DUMMYFUNCTION("""COMPUTED_VALUE"""),100.0)</f>
        <v>100</v>
      </c>
    </row>
    <row r="101" ht="15.75" customHeight="1">
      <c r="A101" s="5" t="s">
        <v>37</v>
      </c>
      <c r="C101" s="5" t="s">
        <v>21</v>
      </c>
      <c r="D101" s="5" t="s">
        <v>73</v>
      </c>
      <c r="F101" s="7">
        <f>IFERROR(__xludf.DUMMYFUNCTION("""COMPUTED_VALUE"""),100.0)</f>
        <v>100</v>
      </c>
      <c r="G101" s="7">
        <f>IFERROR(__xludf.DUMMYFUNCTION("""COMPUTED_VALUE"""),100.0)</f>
        <v>100</v>
      </c>
      <c r="H101" s="7">
        <f>IFERROR(__xludf.DUMMYFUNCTION("""COMPUTED_VALUE"""),100.0)</f>
        <v>100</v>
      </c>
      <c r="I101" s="7">
        <f>IFERROR(__xludf.DUMMYFUNCTION("""COMPUTED_VALUE"""),100.0)</f>
        <v>100</v>
      </c>
      <c r="J101" s="7">
        <f>IFERROR(__xludf.DUMMYFUNCTION("""COMPUTED_VALUE"""),100.0)</f>
        <v>100</v>
      </c>
      <c r="K101" s="7">
        <f>IFERROR(__xludf.DUMMYFUNCTION("""COMPUTED_VALUE"""),100.0)</f>
        <v>100</v>
      </c>
      <c r="L101" s="7">
        <f>IFERROR(__xludf.DUMMYFUNCTION("""COMPUTED_VALUE"""),100.0)</f>
        <v>100</v>
      </c>
    </row>
    <row r="102" ht="15.75" customHeight="1">
      <c r="A102" s="5" t="s">
        <v>37</v>
      </c>
      <c r="C102" s="5" t="s">
        <v>21</v>
      </c>
      <c r="D102" s="5" t="s">
        <v>74</v>
      </c>
      <c r="F102" s="7">
        <f>IFERROR(__xludf.DUMMYFUNCTION("""COMPUTED_VALUE"""),100.0)</f>
        <v>100</v>
      </c>
      <c r="G102" s="7">
        <f>IFERROR(__xludf.DUMMYFUNCTION("""COMPUTED_VALUE"""),100.0)</f>
        <v>100</v>
      </c>
      <c r="H102" s="7">
        <f>IFERROR(__xludf.DUMMYFUNCTION("""COMPUTED_VALUE"""),100.0)</f>
        <v>100</v>
      </c>
      <c r="I102" s="7">
        <f>IFERROR(__xludf.DUMMYFUNCTION("""COMPUTED_VALUE"""),100.0)</f>
        <v>100</v>
      </c>
      <c r="J102" s="7">
        <f>IFERROR(__xludf.DUMMYFUNCTION("""COMPUTED_VALUE"""),100.0)</f>
        <v>100</v>
      </c>
      <c r="K102" s="7">
        <f>IFERROR(__xludf.DUMMYFUNCTION("""COMPUTED_VALUE"""),100.0)</f>
        <v>100</v>
      </c>
      <c r="L102" s="7">
        <f>IFERROR(__xludf.DUMMYFUNCTION("""COMPUTED_VALUE"""),100.0)</f>
        <v>100</v>
      </c>
    </row>
    <row r="103" ht="15.75" customHeight="1">
      <c r="A103" s="5" t="s">
        <v>37</v>
      </c>
      <c r="C103" s="5" t="s">
        <v>21</v>
      </c>
      <c r="D103" s="5" t="s">
        <v>75</v>
      </c>
      <c r="E103" s="5">
        <v>5.0</v>
      </c>
      <c r="F103" s="7">
        <f>IFERROR(__xludf.DUMMYFUNCTION("""COMPUTED_VALUE"""),100.0)</f>
        <v>100</v>
      </c>
      <c r="G103" s="7">
        <f>IFERROR(__xludf.DUMMYFUNCTION("""COMPUTED_VALUE"""),100.0)</f>
        <v>100</v>
      </c>
      <c r="H103" s="7">
        <f>IFERROR(__xludf.DUMMYFUNCTION("""COMPUTED_VALUE"""),100.0)</f>
        <v>100</v>
      </c>
      <c r="I103" s="7">
        <f>IFERROR(__xludf.DUMMYFUNCTION("""COMPUTED_VALUE"""),100.0)</f>
        <v>100</v>
      </c>
      <c r="J103" s="7">
        <f>IFERROR(__xludf.DUMMYFUNCTION("""COMPUTED_VALUE"""),100.0)</f>
        <v>100</v>
      </c>
      <c r="K103" s="7">
        <f>IFERROR(__xludf.DUMMYFUNCTION("""COMPUTED_VALUE"""),100.0)</f>
        <v>100</v>
      </c>
      <c r="L103" s="7">
        <f>IFERROR(__xludf.DUMMYFUNCTION("""COMPUTED_VALUE"""),100.0)</f>
        <v>100</v>
      </c>
    </row>
    <row r="104" ht="15.75" customHeight="1">
      <c r="A104" s="5" t="s">
        <v>37</v>
      </c>
      <c r="B104" s="5">
        <v>5.0</v>
      </c>
      <c r="C104" s="5" t="s">
        <v>48</v>
      </c>
      <c r="D104" s="8" t="s">
        <v>76</v>
      </c>
      <c r="E104" s="5">
        <v>10.0</v>
      </c>
      <c r="F104" s="5"/>
      <c r="G104" s="5"/>
      <c r="H104" s="5"/>
      <c r="I104" s="5"/>
      <c r="J104" s="5"/>
      <c r="K104" s="5"/>
      <c r="L104" s="5"/>
    </row>
    <row r="105" ht="15.75" customHeight="1">
      <c r="A105" s="5" t="s">
        <v>37</v>
      </c>
      <c r="C105" s="5" t="s">
        <v>21</v>
      </c>
      <c r="D105" s="5" t="s">
        <v>79</v>
      </c>
      <c r="E105" s="5">
        <v>0.5</v>
      </c>
      <c r="F105" s="7">
        <f>IFERROR(__xludf.DUMMYFUNCTION("""COMPUTED_VALUE"""),72.25969645868466)</f>
        <v>72.25969646</v>
      </c>
      <c r="G105" s="7">
        <f>IFERROR(__xludf.DUMMYFUNCTION("""COMPUTED_VALUE"""),85.81024349286314)</f>
        <v>85.81024349</v>
      </c>
      <c r="H105" s="7">
        <f>IFERROR(__xludf.DUMMYFUNCTION("""COMPUTED_VALUE"""),86.20689655172413)</f>
        <v>86.20689655</v>
      </c>
      <c r="I105" s="7">
        <f>IFERROR(__xludf.DUMMYFUNCTION("""COMPUTED_VALUE"""),94.80840543881335)</f>
        <v>94.80840544</v>
      </c>
      <c r="J105" s="7">
        <f>IFERROR(__xludf.DUMMYFUNCTION("""COMPUTED_VALUE"""),90.31877213695395)</f>
        <v>90.31877214</v>
      </c>
      <c r="K105" s="7">
        <f>IFERROR(__xludf.DUMMYFUNCTION("""COMPUTED_VALUE"""),88.09523809523809)</f>
        <v>88.0952381</v>
      </c>
      <c r="L105" s="7">
        <f>IFERROR(__xludf.DUMMYFUNCTION("""COMPUTED_VALUE"""),89.1156462585034)</f>
        <v>89.11564626</v>
      </c>
    </row>
    <row r="106" ht="15.75" customHeight="1">
      <c r="A106" s="5" t="s">
        <v>37</v>
      </c>
      <c r="C106" s="5" t="s">
        <v>21</v>
      </c>
      <c r="D106" s="5" t="s">
        <v>81</v>
      </c>
      <c r="E106" s="5">
        <v>1.5</v>
      </c>
      <c r="F106" s="7">
        <f>IFERROR(__xludf.DUMMYFUNCTION("""COMPUTED_VALUE"""),152.64474136654977)</f>
        <v>152.6447414</v>
      </c>
      <c r="G106" s="7">
        <f>IFERROR(__xludf.DUMMYFUNCTION("""COMPUTED_VALUE"""),165.07921568112891)</f>
        <v>165.0792157</v>
      </c>
      <c r="H106" s="7">
        <f>IFERROR(__xludf.DUMMYFUNCTION("""COMPUTED_VALUE"""),188.44469952738297)</f>
        <v>188.4446995</v>
      </c>
      <c r="I106" s="7">
        <f>IFERROR(__xludf.DUMMYFUNCTION("""COMPUTED_VALUE"""),212.60777243652984)</f>
        <v>212.6077724</v>
      </c>
      <c r="J106" s="7">
        <f>IFERROR(__xludf.DUMMYFUNCTION("""COMPUTED_VALUE"""),177.39712882712027)</f>
        <v>177.3971288</v>
      </c>
      <c r="K106" s="7">
        <f>IFERROR(__xludf.DUMMYFUNCTION("""COMPUTED_VALUE"""),111.00266607844289)</f>
        <v>111.0026661</v>
      </c>
      <c r="L106" s="7">
        <f>IFERROR(__xludf.DUMMYFUNCTION("""COMPUTED_VALUE"""),178.05586545304632)</f>
        <v>178.0558655</v>
      </c>
    </row>
    <row r="107" ht="15.75" customHeight="1">
      <c r="A107" s="5" t="s">
        <v>37</v>
      </c>
      <c r="C107" s="5" t="s">
        <v>21</v>
      </c>
      <c r="D107" s="5" t="s">
        <v>82</v>
      </c>
      <c r="E107" s="5">
        <v>2.0</v>
      </c>
      <c r="F107" s="7">
        <f>IFERROR(__xludf.DUMMYFUNCTION("""COMPUTED_VALUE"""),75.18583787899958)</f>
        <v>75.18583788</v>
      </c>
      <c r="G107" s="7">
        <f>IFERROR(__xludf.DUMMYFUNCTION("""COMPUTED_VALUE"""),74.58687445878299)</f>
        <v>74.58687446</v>
      </c>
      <c r="H107" s="7">
        <f>IFERROR(__xludf.DUMMYFUNCTION("""COMPUTED_VALUE"""),106.75340672257146)</f>
        <v>106.7534067</v>
      </c>
      <c r="I107" s="7">
        <f>IFERROR(__xludf.DUMMYFUNCTION("""COMPUTED_VALUE"""),81.39022095950828)</f>
        <v>81.39022096</v>
      </c>
      <c r="J107" s="7">
        <f>IFERROR(__xludf.DUMMYFUNCTION("""COMPUTED_VALUE"""),70.02490284400005)</f>
        <v>70.02490284</v>
      </c>
      <c r="K107" s="7">
        <f>IFERROR(__xludf.DUMMYFUNCTION("""COMPUTED_VALUE"""),65.61060870827686)</f>
        <v>65.61060871</v>
      </c>
      <c r="L107" s="7">
        <f>IFERROR(__xludf.DUMMYFUNCTION("""COMPUTED_VALUE"""),58.98881111739779)</f>
        <v>58.98881112</v>
      </c>
    </row>
    <row r="108" ht="15.75" customHeight="1">
      <c r="A108" s="5" t="s">
        <v>37</v>
      </c>
      <c r="C108" s="5" t="s">
        <v>21</v>
      </c>
      <c r="D108" s="5" t="s">
        <v>83</v>
      </c>
      <c r="E108" s="5">
        <v>4.0</v>
      </c>
      <c r="F108" s="7">
        <f>IFERROR(__xludf.DUMMYFUNCTION("""COMPUTED_VALUE"""),100.0)</f>
        <v>100</v>
      </c>
      <c r="G108" s="7">
        <f>IFERROR(__xludf.DUMMYFUNCTION("""COMPUTED_VALUE"""),0.0)</f>
        <v>0</v>
      </c>
      <c r="H108" s="7">
        <f>IFERROR(__xludf.DUMMYFUNCTION("""COMPUTED_VALUE"""),0.0)</f>
        <v>0</v>
      </c>
      <c r="I108" s="7">
        <f>IFERROR(__xludf.DUMMYFUNCTION("""COMPUTED_VALUE"""),100.0)</f>
        <v>100</v>
      </c>
      <c r="J108" s="7">
        <f>IFERROR(__xludf.DUMMYFUNCTION("""COMPUTED_VALUE"""),0.0)</f>
        <v>0</v>
      </c>
      <c r="K108" s="7">
        <f>IFERROR(__xludf.DUMMYFUNCTION("""COMPUTED_VALUE"""),100.0)</f>
        <v>100</v>
      </c>
      <c r="L108" s="7">
        <f>IFERROR(__xludf.DUMMYFUNCTION("""COMPUTED_VALUE"""),100.0)</f>
        <v>100</v>
      </c>
    </row>
    <row r="109" ht="15.75" customHeight="1">
      <c r="A109" s="5" t="s">
        <v>37</v>
      </c>
      <c r="C109" s="5" t="s">
        <v>21</v>
      </c>
      <c r="D109" s="5" t="s">
        <v>84</v>
      </c>
      <c r="E109" s="5">
        <v>2.0</v>
      </c>
      <c r="F109" s="7">
        <f>IFERROR(__xludf.DUMMYFUNCTION("""COMPUTED_VALUE"""),100.0)</f>
        <v>100</v>
      </c>
      <c r="G109" s="7">
        <f>IFERROR(__xludf.DUMMYFUNCTION("""COMPUTED_VALUE"""),0.0)</f>
        <v>0</v>
      </c>
      <c r="H109" s="7">
        <f>IFERROR(__xludf.DUMMYFUNCTION("""COMPUTED_VALUE"""),0.0)</f>
        <v>0</v>
      </c>
      <c r="I109" s="7">
        <f>IFERROR(__xludf.DUMMYFUNCTION("""COMPUTED_VALUE"""),100.0)</f>
        <v>100</v>
      </c>
      <c r="J109" s="7">
        <f>IFERROR(__xludf.DUMMYFUNCTION("""COMPUTED_VALUE"""),0.0)</f>
        <v>0</v>
      </c>
      <c r="K109" s="7">
        <f>IFERROR(__xludf.DUMMYFUNCTION("""COMPUTED_VALUE"""),100.0)</f>
        <v>100</v>
      </c>
      <c r="L109" s="7">
        <f>IFERROR(__xludf.DUMMYFUNCTION("""COMPUTED_VALUE"""),100.0)</f>
        <v>100</v>
      </c>
    </row>
    <row r="110" ht="15.75" customHeight="1">
      <c r="A110" s="5" t="s">
        <v>37</v>
      </c>
      <c r="B110" s="5">
        <v>6.0</v>
      </c>
      <c r="C110" s="5" t="s">
        <v>48</v>
      </c>
      <c r="D110" s="8" t="s">
        <v>85</v>
      </c>
      <c r="E110" s="5">
        <v>8.0</v>
      </c>
      <c r="F110" s="5"/>
      <c r="G110" s="5"/>
      <c r="H110" s="5"/>
      <c r="I110" s="5"/>
      <c r="J110" s="5"/>
      <c r="K110" s="5"/>
      <c r="L110" s="5"/>
    </row>
    <row r="111" ht="15.75" customHeight="1">
      <c r="A111" s="5" t="s">
        <v>37</v>
      </c>
      <c r="C111" s="5" t="s">
        <v>21</v>
      </c>
      <c r="D111" s="5" t="s">
        <v>86</v>
      </c>
      <c r="E111" s="5">
        <v>2.0</v>
      </c>
      <c r="F111" s="7">
        <f>IFERROR(__xludf.DUMMYFUNCTION("""COMPUTED_VALUE"""),100.0)</f>
        <v>100</v>
      </c>
      <c r="G111" s="7">
        <f>IFERROR(__xludf.DUMMYFUNCTION("""COMPUTED_VALUE"""),100.0)</f>
        <v>100</v>
      </c>
      <c r="H111" s="7">
        <f>IFERROR(__xludf.DUMMYFUNCTION("""COMPUTED_VALUE"""),200.0)</f>
        <v>200</v>
      </c>
      <c r="I111" s="7">
        <f>IFERROR(__xludf.DUMMYFUNCTION("""COMPUTED_VALUE"""),100.0)</f>
        <v>100</v>
      </c>
      <c r="J111" s="7">
        <f>IFERROR(__xludf.DUMMYFUNCTION("""COMPUTED_VALUE"""),100.0)</f>
        <v>100</v>
      </c>
      <c r="K111" s="7">
        <f>IFERROR(__xludf.DUMMYFUNCTION("""COMPUTED_VALUE"""),100.0)</f>
        <v>100</v>
      </c>
      <c r="L111" s="7">
        <f>IFERROR(__xludf.DUMMYFUNCTION("""COMPUTED_VALUE"""),100.0)</f>
        <v>100</v>
      </c>
    </row>
    <row r="112" ht="15.75" customHeight="1">
      <c r="A112" s="5" t="s">
        <v>37</v>
      </c>
      <c r="C112" s="5" t="s">
        <v>21</v>
      </c>
      <c r="D112" s="5" t="s">
        <v>87</v>
      </c>
      <c r="E112" s="5">
        <v>2.0</v>
      </c>
      <c r="F112" s="7">
        <f>IFERROR(__xludf.DUMMYFUNCTION("""COMPUTED_VALUE"""),133.7)</f>
        <v>133.7</v>
      </c>
      <c r="G112" s="7">
        <f>IFERROR(__xludf.DUMMYFUNCTION("""COMPUTED_VALUE"""),140.53333333333333)</f>
        <v>140.5333333</v>
      </c>
      <c r="H112" s="7">
        <f>IFERROR(__xludf.DUMMYFUNCTION("""COMPUTED_VALUE"""),127.23333333333335)</f>
        <v>127.2333333</v>
      </c>
      <c r="I112" s="7">
        <f>IFERROR(__xludf.DUMMYFUNCTION("""COMPUTED_VALUE"""),136.0333333333333)</f>
        <v>136.0333333</v>
      </c>
      <c r="J112" s="7">
        <f>IFERROR(__xludf.DUMMYFUNCTION("""COMPUTED_VALUE"""),134.60000000000002)</f>
        <v>134.6</v>
      </c>
      <c r="K112" s="7">
        <f>IFERROR(__xludf.DUMMYFUNCTION("""COMPUTED_VALUE"""),135.63333333333333)</f>
        <v>135.6333333</v>
      </c>
      <c r="L112" s="7">
        <f>IFERROR(__xludf.DUMMYFUNCTION("""COMPUTED_VALUE"""),125.63333333333335)</f>
        <v>125.6333333</v>
      </c>
    </row>
    <row r="113" ht="15.75" customHeight="1">
      <c r="A113" s="5" t="s">
        <v>37</v>
      </c>
      <c r="C113" s="5" t="s">
        <v>21</v>
      </c>
      <c r="D113" s="5" t="s">
        <v>88</v>
      </c>
      <c r="E113" s="5">
        <v>2.0</v>
      </c>
      <c r="F113" s="7">
        <f>IFERROR(__xludf.DUMMYFUNCTION("""COMPUTED_VALUE"""),186.14790872151443)</f>
        <v>186.1479087</v>
      </c>
      <c r="G113" s="7">
        <f>IFERROR(__xludf.DUMMYFUNCTION("""COMPUTED_VALUE"""),159.1319859168132)</f>
        <v>159.1319859</v>
      </c>
      <c r="H113" s="7">
        <f>IFERROR(__xludf.DUMMYFUNCTION("""COMPUTED_VALUE"""),156.90418934909715)</f>
        <v>156.9041893</v>
      </c>
      <c r="I113" s="7">
        <f>IFERROR(__xludf.DUMMYFUNCTION("""COMPUTED_VALUE"""),143.7720992630345)</f>
        <v>143.7720993</v>
      </c>
      <c r="J113" s="7">
        <f>IFERROR(__xludf.DUMMYFUNCTION("""COMPUTED_VALUE"""),111.15292872189559)</f>
        <v>111.1529287</v>
      </c>
      <c r="K113" s="7">
        <f>IFERROR(__xludf.DUMMYFUNCTION("""COMPUTED_VALUE"""),132.222454874659)</f>
        <v>132.2224549</v>
      </c>
      <c r="L113" s="7">
        <f>IFERROR(__xludf.DUMMYFUNCTION("""COMPUTED_VALUE"""),116.76314648202428)</f>
        <v>116.7631465</v>
      </c>
    </row>
    <row r="114" ht="15.75" customHeight="1">
      <c r="A114" s="5" t="s">
        <v>37</v>
      </c>
      <c r="C114" s="5" t="s">
        <v>21</v>
      </c>
      <c r="D114" s="5" t="s">
        <v>89</v>
      </c>
      <c r="E114" s="5">
        <v>1.2</v>
      </c>
      <c r="F114" s="7">
        <f>IFERROR(__xludf.DUMMYFUNCTION("""COMPUTED_VALUE"""),156.5936599423631)</f>
        <v>156.5936599</v>
      </c>
      <c r="G114" s="7">
        <f>IFERROR(__xludf.DUMMYFUNCTION("""COMPUTED_VALUE"""),150.9340777324458)</f>
        <v>150.9340777</v>
      </c>
      <c r="H114" s="7">
        <f>IFERROR(__xludf.DUMMYFUNCTION("""COMPUTED_VALUE"""),207.44734342700707)</f>
        <v>207.4473434</v>
      </c>
      <c r="I114" s="7">
        <f>IFERROR(__xludf.DUMMYFUNCTION("""COMPUTED_VALUE"""),192.27722772277224)</f>
        <v>192.2772277</v>
      </c>
      <c r="J114" s="7">
        <f>IFERROR(__xludf.DUMMYFUNCTION("""COMPUTED_VALUE"""),167.74382097528388)</f>
        <v>167.743821</v>
      </c>
      <c r="K114" s="7">
        <f>IFERROR(__xludf.DUMMYFUNCTION("""COMPUTED_VALUE"""),172.44603600915147)</f>
        <v>172.446036</v>
      </c>
      <c r="L114" s="7">
        <f>IFERROR(__xludf.DUMMYFUNCTION("""COMPUTED_VALUE"""),176.2782608695652)</f>
        <v>176.2782609</v>
      </c>
    </row>
    <row r="115" ht="15.75" customHeight="1">
      <c r="A115" s="5" t="s">
        <v>37</v>
      </c>
      <c r="C115" s="5" t="s">
        <v>21</v>
      </c>
      <c r="D115" s="5" t="s">
        <v>92</v>
      </c>
      <c r="E115" s="5">
        <v>0.8</v>
      </c>
      <c r="F115" s="7">
        <f>IFERROR(__xludf.DUMMYFUNCTION("""COMPUTED_VALUE"""),104.54026919915552)</f>
        <v>104.5402692</v>
      </c>
      <c r="G115" s="7">
        <f>IFERROR(__xludf.DUMMYFUNCTION("""COMPUTED_VALUE"""),105.36472380612871)</f>
        <v>105.3647238</v>
      </c>
      <c r="H115" s="7">
        <f>IFERROR(__xludf.DUMMYFUNCTION("""COMPUTED_VALUE"""),110.0)</f>
        <v>110</v>
      </c>
      <c r="I115" s="7">
        <f>IFERROR(__xludf.DUMMYFUNCTION("""COMPUTED_VALUE"""),110.0)</f>
        <v>110</v>
      </c>
      <c r="J115" s="7">
        <f>IFERROR(__xludf.DUMMYFUNCTION("""COMPUTED_VALUE"""),110.0)</f>
        <v>110</v>
      </c>
      <c r="K115" s="7">
        <f>IFERROR(__xludf.DUMMYFUNCTION("""COMPUTED_VALUE"""),110.0)</f>
        <v>110</v>
      </c>
      <c r="L115" s="7">
        <f>IFERROR(__xludf.DUMMYFUNCTION("""COMPUTED_VALUE"""),110.0)</f>
        <v>110</v>
      </c>
    </row>
    <row r="116" ht="15.75" customHeight="1">
      <c r="A116" s="5" t="s">
        <v>37</v>
      </c>
      <c r="B116" s="5">
        <v>7.0</v>
      </c>
      <c r="C116" s="5" t="s">
        <v>48</v>
      </c>
      <c r="D116" s="8" t="s">
        <v>94</v>
      </c>
      <c r="E116" s="5">
        <v>7.0</v>
      </c>
      <c r="F116" s="5"/>
      <c r="G116" s="5"/>
      <c r="H116" s="5"/>
      <c r="I116" s="5"/>
      <c r="J116" s="5"/>
      <c r="K116" s="5"/>
      <c r="L116" s="5"/>
    </row>
    <row r="117" ht="15.75" customHeight="1">
      <c r="A117" s="5" t="s">
        <v>37</v>
      </c>
      <c r="C117" s="5" t="s">
        <v>21</v>
      </c>
      <c r="D117" s="5" t="s">
        <v>95</v>
      </c>
      <c r="E117" s="5">
        <v>5.0</v>
      </c>
      <c r="F117" s="7">
        <f>IFERROR(__xludf.DUMMYFUNCTION("""COMPUTED_VALUE"""),141.8181818181818)</f>
        <v>141.8181818</v>
      </c>
      <c r="G117" s="7">
        <f>IFERROR(__xludf.DUMMYFUNCTION("""COMPUTED_VALUE"""),140.25974025974025)</f>
        <v>140.2597403</v>
      </c>
      <c r="H117" s="7">
        <f>IFERROR(__xludf.DUMMYFUNCTION("""COMPUTED_VALUE"""),139.6103896103896)</f>
        <v>139.6103896</v>
      </c>
      <c r="I117" s="7">
        <f>IFERROR(__xludf.DUMMYFUNCTION("""COMPUTED_VALUE"""),140.0)</f>
        <v>140</v>
      </c>
      <c r="J117" s="7">
        <f>IFERROR(__xludf.DUMMYFUNCTION("""COMPUTED_VALUE"""),139.28571428571428)</f>
        <v>139.2857143</v>
      </c>
      <c r="K117" s="7">
        <f>IFERROR(__xludf.DUMMYFUNCTION("""COMPUTED_VALUE"""),144.15584415584414)</f>
        <v>144.1558442</v>
      </c>
      <c r="L117" s="7">
        <f>IFERROR(__xludf.DUMMYFUNCTION("""COMPUTED_VALUE"""),143.39622641509436)</f>
        <v>143.3962264</v>
      </c>
    </row>
    <row r="118" ht="15.75" customHeight="1">
      <c r="A118" s="5" t="s">
        <v>37</v>
      </c>
      <c r="C118" s="5" t="s">
        <v>21</v>
      </c>
      <c r="D118" s="5" t="s">
        <v>96</v>
      </c>
      <c r="E118" s="5">
        <v>2.0</v>
      </c>
      <c r="F118" s="7">
        <f>IFERROR(__xludf.DUMMYFUNCTION("""COMPUTED_VALUE"""),50.0)</f>
        <v>50</v>
      </c>
      <c r="G118" s="7">
        <f>IFERROR(__xludf.DUMMYFUNCTION("""COMPUTED_VALUE"""),100.0)</f>
        <v>100</v>
      </c>
      <c r="H118" s="7">
        <f>IFERROR(__xludf.DUMMYFUNCTION("""COMPUTED_VALUE"""),100.0)</f>
        <v>100</v>
      </c>
      <c r="I118" s="7">
        <f>IFERROR(__xludf.DUMMYFUNCTION("""COMPUTED_VALUE"""),200.0)</f>
        <v>200</v>
      </c>
      <c r="J118" s="7">
        <f>IFERROR(__xludf.DUMMYFUNCTION("""COMPUTED_VALUE"""),200.0)</f>
        <v>200</v>
      </c>
      <c r="K118" s="7">
        <f>IFERROR(__xludf.DUMMYFUNCTION("""COMPUTED_VALUE"""),100.0)</f>
        <v>100</v>
      </c>
      <c r="L118" s="7">
        <f>IFERROR(__xludf.DUMMYFUNCTION("""COMPUTED_VALUE"""),100.0)</f>
        <v>100</v>
      </c>
    </row>
    <row r="119" ht="15.75" customHeight="1">
      <c r="A119" s="5" t="s">
        <v>37</v>
      </c>
      <c r="B119" s="5">
        <v>8.0</v>
      </c>
      <c r="C119" s="5" t="s">
        <v>48</v>
      </c>
      <c r="D119" s="8" t="s">
        <v>97</v>
      </c>
      <c r="E119" s="5">
        <v>8.0</v>
      </c>
      <c r="F119" s="5"/>
      <c r="G119" s="5"/>
      <c r="H119" s="5"/>
      <c r="I119" s="5"/>
      <c r="J119" s="5"/>
      <c r="K119" s="5"/>
      <c r="L119" s="5"/>
    </row>
    <row r="120" ht="15.75" customHeight="1">
      <c r="A120" s="5" t="s">
        <v>37</v>
      </c>
      <c r="C120" s="5" t="s">
        <v>21</v>
      </c>
      <c r="D120" s="5" t="s">
        <v>98</v>
      </c>
      <c r="E120" s="5">
        <v>6.0</v>
      </c>
      <c r="F120" s="7">
        <f>IFERROR(__xludf.DUMMYFUNCTION("""COMPUTED_VALUE"""),109.32592592592592)</f>
        <v>109.3259259</v>
      </c>
      <c r="G120" s="7">
        <f>IFERROR(__xludf.DUMMYFUNCTION("""COMPUTED_VALUE"""),110.00000000000001)</f>
        <v>110</v>
      </c>
      <c r="H120" s="7">
        <f>IFERROR(__xludf.DUMMYFUNCTION("""COMPUTED_VALUE"""),110.00000000000001)</f>
        <v>110</v>
      </c>
      <c r="I120" s="7">
        <f>IFERROR(__xludf.DUMMYFUNCTION("""COMPUTED_VALUE"""),110.00000000000001)</f>
        <v>110</v>
      </c>
      <c r="J120" s="7">
        <f>IFERROR(__xludf.DUMMYFUNCTION("""COMPUTED_VALUE"""),110.00000000000001)</f>
        <v>110</v>
      </c>
      <c r="K120" s="7">
        <f>IFERROR(__xludf.DUMMYFUNCTION("""COMPUTED_VALUE"""),110.00000000000001)</f>
        <v>110</v>
      </c>
      <c r="L120" s="7">
        <f>IFERROR(__xludf.DUMMYFUNCTION("""COMPUTED_VALUE"""),110.00000000000001)</f>
        <v>110</v>
      </c>
    </row>
    <row r="121" ht="15.75" customHeight="1">
      <c r="A121" s="5" t="s">
        <v>37</v>
      </c>
      <c r="C121" s="5" t="s">
        <v>21</v>
      </c>
      <c r="D121" s="5" t="s">
        <v>99</v>
      </c>
      <c r="E121" s="5">
        <v>2.0</v>
      </c>
      <c r="F121" s="7">
        <f>IFERROR(__xludf.DUMMYFUNCTION("""COMPUTED_VALUE"""),110.00000000000001)</f>
        <v>110</v>
      </c>
      <c r="G121" s="7">
        <f>IFERROR(__xludf.DUMMYFUNCTION("""COMPUTED_VALUE"""),110.00000000000001)</f>
        <v>110</v>
      </c>
      <c r="H121" s="7">
        <f>IFERROR(__xludf.DUMMYFUNCTION("""COMPUTED_VALUE"""),110.00000000000001)</f>
        <v>110</v>
      </c>
      <c r="I121" s="7">
        <f>IFERROR(__xludf.DUMMYFUNCTION("""COMPUTED_VALUE"""),110.00000000000001)</f>
        <v>110</v>
      </c>
      <c r="J121" s="7">
        <f>IFERROR(__xludf.DUMMYFUNCTION("""COMPUTED_VALUE"""),110.00000000000001)</f>
        <v>110</v>
      </c>
      <c r="K121" s="7">
        <f>IFERROR(__xludf.DUMMYFUNCTION("""COMPUTED_VALUE"""),110.00000000000001)</f>
        <v>110</v>
      </c>
      <c r="L121" s="7">
        <f>IFERROR(__xludf.DUMMYFUNCTION("""COMPUTED_VALUE"""),110.00000000000001)</f>
        <v>110</v>
      </c>
    </row>
    <row r="122" ht="15.75" customHeight="1">
      <c r="A122" s="5" t="s">
        <v>37</v>
      </c>
      <c r="B122" s="5">
        <v>9.0</v>
      </c>
      <c r="C122" s="5" t="s">
        <v>48</v>
      </c>
      <c r="D122" s="8" t="s">
        <v>101</v>
      </c>
      <c r="E122" s="5">
        <v>6.0</v>
      </c>
      <c r="F122" s="5"/>
      <c r="G122" s="5"/>
      <c r="H122" s="5"/>
      <c r="I122" s="5"/>
      <c r="J122" s="5"/>
      <c r="K122" s="5"/>
      <c r="L122" s="5"/>
    </row>
    <row r="123" ht="15.75" customHeight="1">
      <c r="A123" s="5" t="s">
        <v>37</v>
      </c>
      <c r="C123" s="5" t="s">
        <v>21</v>
      </c>
      <c r="D123" s="5" t="s">
        <v>102</v>
      </c>
      <c r="E123" s="5">
        <v>2.0</v>
      </c>
      <c r="F123" s="7">
        <f>IFERROR(__xludf.DUMMYFUNCTION("""COMPUTED_VALUE"""),713.6107925505675)</f>
        <v>713.6107926</v>
      </c>
      <c r="G123" s="7">
        <f>IFERROR(__xludf.DUMMYFUNCTION("""COMPUTED_VALUE"""),497.97139417858904)</f>
        <v>497.9713942</v>
      </c>
      <c r="H123" s="7">
        <f>IFERROR(__xludf.DUMMYFUNCTION("""COMPUTED_VALUE"""),160.2169317519983)</f>
        <v>160.2169318</v>
      </c>
      <c r="I123" s="7">
        <f>IFERROR(__xludf.DUMMYFUNCTION("""COMPUTED_VALUE"""),161.43518635989903)</f>
        <v>161.4351864</v>
      </c>
      <c r="J123" s="7">
        <f>IFERROR(__xludf.DUMMYFUNCTION("""COMPUTED_VALUE"""),178.7351723458078)</f>
        <v>178.7351723</v>
      </c>
      <c r="K123" s="7">
        <f>IFERROR(__xludf.DUMMYFUNCTION("""COMPUTED_VALUE"""),48.38356206898773)</f>
        <v>48.38356207</v>
      </c>
      <c r="L123" s="7">
        <f>IFERROR(__xludf.DUMMYFUNCTION("""COMPUTED_VALUE"""),159.3212049827331)</f>
        <v>159.321205</v>
      </c>
    </row>
    <row r="124" ht="15.75" customHeight="1">
      <c r="A124" s="5" t="s">
        <v>37</v>
      </c>
      <c r="C124" s="5" t="s">
        <v>21</v>
      </c>
      <c r="D124" s="5" t="s">
        <v>103</v>
      </c>
      <c r="E124" s="5">
        <v>2.0</v>
      </c>
      <c r="F124" s="7">
        <f>IFERROR(__xludf.DUMMYFUNCTION("""COMPUTED_VALUE"""),178.98357345280277)</f>
        <v>178.9835735</v>
      </c>
      <c r="G124" s="7">
        <f>IFERROR(__xludf.DUMMYFUNCTION("""COMPUTED_VALUE"""),156.6239853368911)</f>
        <v>156.6239853</v>
      </c>
      <c r="H124" s="7">
        <f>IFERROR(__xludf.DUMMYFUNCTION("""COMPUTED_VALUE"""),304.72345216587684)</f>
        <v>304.7234522</v>
      </c>
      <c r="I124" s="7">
        <f>IFERROR(__xludf.DUMMYFUNCTION("""COMPUTED_VALUE"""),376.0550444435861)</f>
        <v>376.0550444</v>
      </c>
      <c r="J124" s="7">
        <f>IFERROR(__xludf.DUMMYFUNCTION("""COMPUTED_VALUE"""),134.00133878038102)</f>
        <v>134.0013388</v>
      </c>
      <c r="K124" s="7">
        <f>IFERROR(__xludf.DUMMYFUNCTION("""COMPUTED_VALUE"""),700.039403992344)</f>
        <v>700.039404</v>
      </c>
      <c r="L124" s="7">
        <f>IFERROR(__xludf.DUMMYFUNCTION("""COMPUTED_VALUE"""),428.37736243217034)</f>
        <v>428.3773624</v>
      </c>
    </row>
    <row r="125" ht="15.75" customHeight="1">
      <c r="A125" s="5" t="s">
        <v>37</v>
      </c>
      <c r="C125" s="5" t="s">
        <v>21</v>
      </c>
      <c r="D125" s="5" t="s">
        <v>104</v>
      </c>
      <c r="E125" s="5">
        <v>2.0</v>
      </c>
      <c r="F125" s="7">
        <f>IFERROR(__xludf.DUMMYFUNCTION("""COMPUTED_VALUE"""),100.0)</f>
        <v>100</v>
      </c>
      <c r="G125" s="7">
        <f>IFERROR(__xludf.DUMMYFUNCTION("""COMPUTED_VALUE"""),100.0)</f>
        <v>100</v>
      </c>
      <c r="H125" s="7">
        <f>IFERROR(__xludf.DUMMYFUNCTION("""COMPUTED_VALUE"""),100.0)</f>
        <v>100</v>
      </c>
      <c r="I125" s="7">
        <f>IFERROR(__xludf.DUMMYFUNCTION("""COMPUTED_VALUE"""),100.0)</f>
        <v>100</v>
      </c>
      <c r="J125" s="7">
        <f>IFERROR(__xludf.DUMMYFUNCTION("""COMPUTED_VALUE"""),100.0)</f>
        <v>100</v>
      </c>
      <c r="K125" s="7">
        <f>IFERROR(__xludf.DUMMYFUNCTION("""COMPUTED_VALUE"""),100.0)</f>
        <v>100</v>
      </c>
      <c r="L125" s="7">
        <f>IFERROR(__xludf.DUMMYFUNCTION("""COMPUTED_VALUE"""),100.0)</f>
        <v>100</v>
      </c>
    </row>
    <row r="126" ht="15.75" customHeight="1">
      <c r="A126" s="5" t="s">
        <v>37</v>
      </c>
      <c r="B126" s="5">
        <v>10.0</v>
      </c>
      <c r="C126" s="5" t="s">
        <v>48</v>
      </c>
      <c r="D126" s="8" t="s">
        <v>107</v>
      </c>
      <c r="E126" s="5">
        <v>7.0</v>
      </c>
      <c r="F126" s="5"/>
      <c r="G126" s="5"/>
      <c r="H126" s="5"/>
      <c r="I126" s="5"/>
      <c r="J126" s="5"/>
      <c r="K126" s="5"/>
      <c r="L126" s="5"/>
    </row>
    <row r="127" ht="15.75" customHeight="1">
      <c r="A127" s="5" t="s">
        <v>37</v>
      </c>
      <c r="C127" s="5" t="s">
        <v>21</v>
      </c>
      <c r="D127" s="5" t="s">
        <v>108</v>
      </c>
      <c r="E127" s="5">
        <v>3.0</v>
      </c>
      <c r="F127" s="7">
        <f>IFERROR(__xludf.DUMMYFUNCTION("""COMPUTED_VALUE"""),28.87748643761302)</f>
        <v>28.87748644</v>
      </c>
      <c r="G127" s="7">
        <f>IFERROR(__xludf.DUMMYFUNCTION("""COMPUTED_VALUE"""),47.1523338614799)</f>
        <v>47.15233386</v>
      </c>
      <c r="H127" s="7">
        <f>IFERROR(__xludf.DUMMYFUNCTION("""COMPUTED_VALUE"""),82.9005424954792)</f>
        <v>82.9005425</v>
      </c>
      <c r="I127" s="7">
        <f>IFERROR(__xludf.DUMMYFUNCTION("""COMPUTED_VALUE"""),57.199400766233346)</f>
        <v>57.19940077</v>
      </c>
      <c r="J127" s="7">
        <f>IFERROR(__xludf.DUMMYFUNCTION("""COMPUTED_VALUE"""),53.18497855864107)</f>
        <v>53.18497856</v>
      </c>
      <c r="K127" s="7">
        <f>IFERROR(__xludf.DUMMYFUNCTION("""COMPUTED_VALUE"""),44.255125946642934)</f>
        <v>44.25512595</v>
      </c>
      <c r="L127" s="7">
        <f>IFERROR(__xludf.DUMMYFUNCTION("""COMPUTED_VALUE"""),103.9463746223565)</f>
        <v>103.9463746</v>
      </c>
    </row>
    <row r="128" ht="15.75" customHeight="1">
      <c r="A128" s="5" t="s">
        <v>37</v>
      </c>
      <c r="C128" s="5" t="s">
        <v>21</v>
      </c>
      <c r="D128" s="5" t="s">
        <v>109</v>
      </c>
      <c r="E128" s="5">
        <v>2.0</v>
      </c>
      <c r="F128" s="7">
        <f>IFERROR(__xludf.DUMMYFUNCTION("""COMPUTED_VALUE"""),189.02439024390242)</f>
        <v>189.0243902</v>
      </c>
      <c r="G128" s="7">
        <f>IFERROR(__xludf.DUMMYFUNCTION("""COMPUTED_VALUE"""),142.30769230769232)</f>
        <v>142.3076923</v>
      </c>
      <c r="H128" s="7">
        <f>IFERROR(__xludf.DUMMYFUNCTION("""COMPUTED_VALUE"""),278.24074074074076)</f>
        <v>278.2407407</v>
      </c>
      <c r="I128" s="7">
        <f>IFERROR(__xludf.DUMMYFUNCTION("""COMPUTED_VALUE"""),238.5321100917431)</f>
        <v>238.5321101</v>
      </c>
      <c r="J128" s="7">
        <f>IFERROR(__xludf.DUMMYFUNCTION("""COMPUTED_VALUE"""),140.06024096385542)</f>
        <v>140.060241</v>
      </c>
      <c r="K128" s="7">
        <f>IFERROR(__xludf.DUMMYFUNCTION("""COMPUTED_VALUE"""),155.3903345724907)</f>
        <v>155.3903346</v>
      </c>
      <c r="L128" s="7">
        <f>IFERROR(__xludf.DUMMYFUNCTION("""COMPUTED_VALUE"""),142.28571428571428)</f>
        <v>142.2857143</v>
      </c>
    </row>
    <row r="129" ht="15.75" customHeight="1">
      <c r="A129" s="5" t="s">
        <v>37</v>
      </c>
      <c r="C129" s="5" t="s">
        <v>21</v>
      </c>
      <c r="D129" s="5" t="s">
        <v>110</v>
      </c>
      <c r="E129" s="5">
        <v>2.0</v>
      </c>
      <c r="F129" s="7">
        <f>IFERROR(__xludf.DUMMYFUNCTION("""COMPUTED_VALUE"""),100.0)</f>
        <v>100</v>
      </c>
      <c r="G129" s="7">
        <f>IFERROR(__xludf.DUMMYFUNCTION("""COMPUTED_VALUE"""),100.0)</f>
        <v>100</v>
      </c>
      <c r="H129" s="7">
        <f>IFERROR(__xludf.DUMMYFUNCTION("""COMPUTED_VALUE"""),100.0)</f>
        <v>100</v>
      </c>
      <c r="I129" s="7">
        <f>IFERROR(__xludf.DUMMYFUNCTION("""COMPUTED_VALUE"""),100.0)</f>
        <v>100</v>
      </c>
      <c r="J129" s="7">
        <f>IFERROR(__xludf.DUMMYFUNCTION("""COMPUTED_VALUE"""),100.0)</f>
        <v>100</v>
      </c>
      <c r="K129" s="7">
        <f>IFERROR(__xludf.DUMMYFUNCTION("""COMPUTED_VALUE"""),100.0)</f>
        <v>100</v>
      </c>
      <c r="L129" s="7">
        <f>IFERROR(__xludf.DUMMYFUNCTION("""COMPUTED_VALUE"""),100.0)</f>
        <v>100</v>
      </c>
    </row>
    <row r="130" ht="15.75" customHeight="1">
      <c r="A130" s="5" t="s">
        <v>37</v>
      </c>
      <c r="B130" s="15">
        <v>11.0</v>
      </c>
      <c r="C130" s="5" t="s">
        <v>48</v>
      </c>
      <c r="D130" s="8" t="s">
        <v>111</v>
      </c>
      <c r="E130" s="15">
        <v>4.0</v>
      </c>
      <c r="F130" s="5"/>
      <c r="G130" s="5"/>
      <c r="H130" s="5"/>
      <c r="I130" s="5"/>
      <c r="J130" s="5"/>
      <c r="K130" s="5"/>
      <c r="L130" s="5"/>
    </row>
    <row r="131" ht="15.75" customHeight="1">
      <c r="A131" s="5" t="s">
        <v>37</v>
      </c>
      <c r="C131" s="5" t="b">
        <v>0</v>
      </c>
      <c r="D131" s="15" t="s">
        <v>112</v>
      </c>
      <c r="E131" s="15">
        <v>2.0</v>
      </c>
      <c r="F131" s="7">
        <f>IFERROR(__xludf.DUMMYFUNCTION("""COMPUTED_VALUE"""),101.51)</f>
        <v>101.51</v>
      </c>
      <c r="G131" s="7">
        <f>IFERROR(__xludf.DUMMYFUNCTION("""COMPUTED_VALUE"""),101.51)</f>
        <v>101.51</v>
      </c>
      <c r="H131" s="7">
        <f>IFERROR(__xludf.DUMMYFUNCTION("""COMPUTED_VALUE"""),101.51)</f>
        <v>101.51</v>
      </c>
      <c r="I131" s="7">
        <f>IFERROR(__xludf.DUMMYFUNCTION("""COMPUTED_VALUE"""),101.51)</f>
        <v>101.51</v>
      </c>
      <c r="J131" s="7">
        <f>IFERROR(__xludf.DUMMYFUNCTION("""COMPUTED_VALUE"""),101.51)</f>
        <v>101.51</v>
      </c>
      <c r="K131" s="7">
        <f>IFERROR(__xludf.DUMMYFUNCTION("""COMPUTED_VALUE"""),101.51)</f>
        <v>101.51</v>
      </c>
      <c r="L131" s="7">
        <f>IFERROR(__xludf.DUMMYFUNCTION("""COMPUTED_VALUE"""),101.51)</f>
        <v>101.51</v>
      </c>
    </row>
    <row r="132" ht="15.75" customHeight="1">
      <c r="A132" s="5" t="s">
        <v>37</v>
      </c>
      <c r="C132" s="5" t="s">
        <v>21</v>
      </c>
      <c r="D132" s="15" t="s">
        <v>113</v>
      </c>
      <c r="E132" s="15">
        <v>2.0</v>
      </c>
      <c r="F132" s="7">
        <f>IFERROR(__xludf.DUMMYFUNCTION("""COMPUTED_VALUE"""),100.0)</f>
        <v>100</v>
      </c>
      <c r="G132" s="7">
        <f>IFERROR(__xludf.DUMMYFUNCTION("""COMPUTED_VALUE"""),100.0)</f>
        <v>100</v>
      </c>
      <c r="H132" s="7">
        <f>IFERROR(__xludf.DUMMYFUNCTION("""COMPUTED_VALUE"""),100.0)</f>
        <v>100</v>
      </c>
      <c r="I132" s="7">
        <f>IFERROR(__xludf.DUMMYFUNCTION("""COMPUTED_VALUE"""),100.0)</f>
        <v>100</v>
      </c>
      <c r="J132" s="7">
        <f>IFERROR(__xludf.DUMMYFUNCTION("""COMPUTED_VALUE"""),100.0)</f>
        <v>100</v>
      </c>
      <c r="K132" s="7">
        <f>IFERROR(__xludf.DUMMYFUNCTION("""COMPUTED_VALUE"""),100.0)</f>
        <v>100</v>
      </c>
      <c r="L132" s="7">
        <f>IFERROR(__xludf.DUMMYFUNCTION("""COMPUTED_VALUE"""),100.0)</f>
        <v>100</v>
      </c>
    </row>
    <row r="133" ht="15.75" customHeight="1">
      <c r="A133" s="5" t="s">
        <v>37</v>
      </c>
      <c r="B133" s="15">
        <v>12.0</v>
      </c>
      <c r="C133" s="5" t="s">
        <v>48</v>
      </c>
      <c r="D133" s="8" t="s">
        <v>117</v>
      </c>
    </row>
    <row r="134" ht="15.75" customHeight="1">
      <c r="A134" s="5" t="s">
        <v>37</v>
      </c>
      <c r="C134" s="5" t="s">
        <v>21</v>
      </c>
      <c r="D134" s="15" t="s">
        <v>118</v>
      </c>
    </row>
    <row r="135" ht="15.75" customHeight="1">
      <c r="A135" s="5" t="s">
        <v>37</v>
      </c>
      <c r="C135" s="5" t="s">
        <v>21</v>
      </c>
      <c r="D135" s="15" t="s">
        <v>119</v>
      </c>
    </row>
    <row r="136" ht="15.75" customHeight="1">
      <c r="A136" s="5" t="s">
        <v>37</v>
      </c>
      <c r="C136" s="5" t="s">
        <v>21</v>
      </c>
      <c r="D136" s="15" t="s">
        <v>120</v>
      </c>
    </row>
    <row r="137" ht="15.75" customHeight="1">
      <c r="A137" s="5" t="s">
        <v>38</v>
      </c>
      <c r="B137" s="5">
        <v>1.0</v>
      </c>
      <c r="C137" s="5" t="s">
        <v>21</v>
      </c>
      <c r="D137" s="5" t="s">
        <v>23</v>
      </c>
      <c r="E137" s="5">
        <v>14.0</v>
      </c>
      <c r="F137" s="7">
        <f>IFERROR(__xludf.DUMMYFUNCTION("IMPORTRANGE(""1e7--NjE9N54w7uxIeTVQ2x149gW2CjGTf8gPedLtEqw"",""MDK!BU5:BU45"")"),77.93985088367316)</f>
        <v>77.93985088</v>
      </c>
      <c r="G137" s="7">
        <f>IFERROR(__xludf.DUMMYFUNCTION("IMPORTRANGE(""1e7--NjE9N54w7uxIeTVQ2x149gW2CjGTf8gPedLtEqw"",""MGT!BU5:BU45"")"),78.79264600095956)</f>
        <v>78.792646</v>
      </c>
      <c r="H137" s="7">
        <f>IFERROR(__xludf.DUMMYFUNCTION("IMPORTRANGE(""1e7--NjE9N54w7uxIeTVQ2x149gW2CjGTf8gPedLtEqw"",""NGW!BU5:BU45"")"),86.48134582878916)</f>
        <v>86.48134583</v>
      </c>
      <c r="I137" s="7">
        <f>IFERROR(__xludf.DUMMYFUNCTION("IMPORTRANGE(""1e7--NjE9N54w7uxIeTVQ2x149gW2CjGTf8gPedLtEqw"",""MPT!BU5:BU45"")"),82.80992681060852)</f>
        <v>82.80992681</v>
      </c>
      <c r="J137" s="7">
        <f>IFERROR(__xludf.DUMMYFUNCTION("IMPORTRANGE(""1e7--NjE9N54w7uxIeTVQ2x149gW2CjGTf8gPedLtEqw"",""CRB!BU5:BU45"")"),85.9696592240182)</f>
        <v>85.96965922</v>
      </c>
      <c r="K137" s="7">
        <f>IFERROR(__xludf.DUMMYFUNCTION("IMPORTRANGE(""1e7--NjE9N54w7uxIeTVQ2x149gW2CjGTf8gPedLtEqw"",""DLP!BU5:BU45"")"),79.58616481449809)</f>
        <v>79.58616481</v>
      </c>
      <c r="L137" s="7">
        <f>IFERROR(__xludf.DUMMYFUNCTION("IMPORTRANGE(""1e7--NjE9N54w7uxIeTVQ2x149gW2CjGTf8gPedLtEqw"",""MTN!BU5:BU45"")"),77.31578264233939)</f>
        <v>77.31578264</v>
      </c>
    </row>
    <row r="138" ht="15.75" customHeight="1">
      <c r="A138" s="5" t="s">
        <v>38</v>
      </c>
      <c r="B138" s="5">
        <v>2.0</v>
      </c>
      <c r="C138" s="5" t="s">
        <v>21</v>
      </c>
      <c r="D138" s="5" t="s">
        <v>40</v>
      </c>
      <c r="E138" s="5">
        <v>12.0</v>
      </c>
      <c r="F138" s="7">
        <f>IFERROR(__xludf.DUMMYFUNCTION("""COMPUTED_VALUE"""),109.86930244134805)</f>
        <v>109.8693024</v>
      </c>
      <c r="G138" s="7">
        <f>IFERROR(__xludf.DUMMYFUNCTION("""COMPUTED_VALUE"""),93.84951637665849)</f>
        <v>93.84951638</v>
      </c>
      <c r="H138" s="7">
        <f>IFERROR(__xludf.DUMMYFUNCTION("""COMPUTED_VALUE"""),108.2425922552869)</f>
        <v>108.2425923</v>
      </c>
      <c r="I138" s="7">
        <f>IFERROR(__xludf.DUMMYFUNCTION("""COMPUTED_VALUE"""),121.38758747398298)</f>
        <v>121.3875875</v>
      </c>
      <c r="J138" s="7">
        <f>IFERROR(__xludf.DUMMYFUNCTION("""COMPUTED_VALUE"""),76.28762596539696)</f>
        <v>76.28762597</v>
      </c>
      <c r="K138" s="7">
        <f>IFERROR(__xludf.DUMMYFUNCTION("""COMPUTED_VALUE"""),93.46357362792064)</f>
        <v>93.46357363</v>
      </c>
      <c r="L138" s="7">
        <f>IFERROR(__xludf.DUMMYFUNCTION("""COMPUTED_VALUE"""),103.9249277243254)</f>
        <v>103.9249277</v>
      </c>
    </row>
    <row r="139" ht="15.75" customHeight="1">
      <c r="A139" s="5" t="s">
        <v>38</v>
      </c>
      <c r="B139" s="5">
        <v>3.0</v>
      </c>
      <c r="C139" s="5" t="s">
        <v>48</v>
      </c>
      <c r="D139" s="8" t="s">
        <v>49</v>
      </c>
      <c r="E139" s="5">
        <v>14.0</v>
      </c>
      <c r="F139" s="5"/>
      <c r="G139" s="5"/>
      <c r="H139" s="5"/>
      <c r="I139" s="5"/>
      <c r="J139" s="5"/>
      <c r="K139" s="5"/>
      <c r="L139" s="5"/>
    </row>
    <row r="140" ht="15.75" customHeight="1">
      <c r="A140" s="5" t="s">
        <v>38</v>
      </c>
      <c r="C140" s="5" t="s">
        <v>21</v>
      </c>
      <c r="D140" s="5" t="s">
        <v>51</v>
      </c>
      <c r="E140" s="5">
        <v>6.0</v>
      </c>
      <c r="F140" s="7">
        <f>IFERROR(__xludf.DUMMYFUNCTION("""COMPUTED_VALUE"""),101.01327063430756)</f>
        <v>101.0132706</v>
      </c>
      <c r="G140" s="7">
        <f>IFERROR(__xludf.DUMMYFUNCTION("""COMPUTED_VALUE"""),100.24652888031235)</f>
        <v>100.2465289</v>
      </c>
      <c r="H140" s="7">
        <f>IFERROR(__xludf.DUMMYFUNCTION("""COMPUTED_VALUE"""),102.31810901840123)</f>
        <v>102.318109</v>
      </c>
      <c r="I140" s="7">
        <f>IFERROR(__xludf.DUMMYFUNCTION("""COMPUTED_VALUE"""),101.23544565212572)</f>
        <v>101.2354457</v>
      </c>
      <c r="J140" s="7">
        <f>IFERROR(__xludf.DUMMYFUNCTION("""COMPUTED_VALUE"""),101.78426481945195)</f>
        <v>101.7842648</v>
      </c>
      <c r="K140" s="7">
        <f>IFERROR(__xludf.DUMMYFUNCTION("""COMPUTED_VALUE"""),103.56688977710229)</f>
        <v>103.5668898</v>
      </c>
      <c r="L140" s="7">
        <f>IFERROR(__xludf.DUMMYFUNCTION("""COMPUTED_VALUE"""),100.78392684902452)</f>
        <v>100.7839268</v>
      </c>
    </row>
    <row r="141" ht="15.75" customHeight="1">
      <c r="A141" s="5" t="s">
        <v>38</v>
      </c>
      <c r="C141" s="5" t="s">
        <v>21</v>
      </c>
      <c r="D141" s="5" t="s">
        <v>53</v>
      </c>
      <c r="E141" s="5">
        <v>6.0</v>
      </c>
      <c r="F141" s="7">
        <f>IFERROR(__xludf.DUMMYFUNCTION("""COMPUTED_VALUE"""),102.24464215318831)</f>
        <v>102.2446422</v>
      </c>
      <c r="G141" s="7">
        <f>IFERROR(__xludf.DUMMYFUNCTION("""COMPUTED_VALUE"""),101.34814636521216)</f>
        <v>101.3481464</v>
      </c>
      <c r="H141" s="7">
        <f>IFERROR(__xludf.DUMMYFUNCTION("""COMPUTED_VALUE"""),101.89803101153521)</f>
        <v>101.898031</v>
      </c>
      <c r="I141" s="7">
        <f>IFERROR(__xludf.DUMMYFUNCTION("""COMPUTED_VALUE"""),102.73364218806749)</f>
        <v>102.7336422</v>
      </c>
      <c r="J141" s="7">
        <f>IFERROR(__xludf.DUMMYFUNCTION("""COMPUTED_VALUE"""),100.23605858288845)</f>
        <v>100.2360586</v>
      </c>
      <c r="K141" s="7">
        <f>IFERROR(__xludf.DUMMYFUNCTION("""COMPUTED_VALUE"""),100.26709717044513)</f>
        <v>100.2670972</v>
      </c>
      <c r="L141" s="7">
        <f>IFERROR(__xludf.DUMMYFUNCTION("""COMPUTED_VALUE"""),102.07853096393895)</f>
        <v>102.078531</v>
      </c>
    </row>
    <row r="142" ht="15.75" customHeight="1">
      <c r="A142" s="5" t="s">
        <v>38</v>
      </c>
      <c r="C142" s="5" t="s">
        <v>21</v>
      </c>
      <c r="D142" s="5" t="s">
        <v>55</v>
      </c>
      <c r="E142" s="5">
        <v>2.0</v>
      </c>
      <c r="F142" s="7">
        <f>IFERROR(__xludf.DUMMYFUNCTION("""COMPUTED_VALUE"""),101.96555712769904)</f>
        <v>101.9655571</v>
      </c>
      <c r="G142" s="7">
        <f>IFERROR(__xludf.DUMMYFUNCTION("""COMPUTED_VALUE"""),100.28810997062534)</f>
        <v>100.28811</v>
      </c>
      <c r="H142" s="7">
        <f>IFERROR(__xludf.DUMMYFUNCTION("""COMPUTED_VALUE"""),104.13950295058187)</f>
        <v>104.139503</v>
      </c>
      <c r="I142" s="7">
        <f>IFERROR(__xludf.DUMMYFUNCTION("""COMPUTED_VALUE"""),103.04980960591195)</f>
        <v>103.0498096</v>
      </c>
      <c r="J142" s="7">
        <f>IFERROR(__xludf.DUMMYFUNCTION("""COMPUTED_VALUE"""),101.89537197268001)</f>
        <v>101.895372</v>
      </c>
      <c r="K142" s="7">
        <f>IFERROR(__xludf.DUMMYFUNCTION("""COMPUTED_VALUE"""),100.45627642971834)</f>
        <v>100.4562764</v>
      </c>
      <c r="L142" s="7">
        <f>IFERROR(__xludf.DUMMYFUNCTION("""COMPUTED_VALUE"""),107.66610849047913)</f>
        <v>107.6661085</v>
      </c>
    </row>
    <row r="143" ht="15.75" customHeight="1">
      <c r="A143" s="5" t="s">
        <v>38</v>
      </c>
      <c r="B143" s="5">
        <v>4.0</v>
      </c>
      <c r="C143" s="5" t="s">
        <v>48</v>
      </c>
      <c r="D143" s="8" t="s">
        <v>62</v>
      </c>
      <c r="E143" s="5">
        <v>10.0</v>
      </c>
      <c r="F143" s="5"/>
      <c r="G143" s="5"/>
      <c r="H143" s="5"/>
      <c r="I143" s="5"/>
      <c r="J143" s="5"/>
      <c r="K143" s="5"/>
      <c r="L143" s="5"/>
    </row>
    <row r="144" ht="15.75" customHeight="1">
      <c r="A144" s="5" t="s">
        <v>38</v>
      </c>
      <c r="C144" s="5" t="s">
        <v>21</v>
      </c>
      <c r="D144" s="5" t="s">
        <v>64</v>
      </c>
      <c r="E144" s="5">
        <v>5.0</v>
      </c>
      <c r="F144" s="7">
        <f>IFERROR(__xludf.DUMMYFUNCTION("""COMPUTED_VALUE"""),91.6198926651781)</f>
        <v>91.61989267</v>
      </c>
      <c r="G144" s="7">
        <f>IFERROR(__xludf.DUMMYFUNCTION("""COMPUTED_VALUE"""),110.00000000000001)</f>
        <v>110</v>
      </c>
      <c r="H144" s="7">
        <f>IFERROR(__xludf.DUMMYFUNCTION("""COMPUTED_VALUE"""),110.00000000000001)</f>
        <v>110</v>
      </c>
      <c r="I144" s="7">
        <f>IFERROR(__xludf.DUMMYFUNCTION("""COMPUTED_VALUE"""),73.33333333333333)</f>
        <v>73.33333333</v>
      </c>
      <c r="J144" s="7">
        <f>IFERROR(__xludf.DUMMYFUNCTION("""COMPUTED_VALUE"""),110.00000000000001)</f>
        <v>110</v>
      </c>
      <c r="K144" s="7">
        <f>IFERROR(__xludf.DUMMYFUNCTION("""COMPUTED_VALUE"""),110.00000000000001)</f>
        <v>110</v>
      </c>
      <c r="L144" s="7">
        <f>IFERROR(__xludf.DUMMYFUNCTION("""COMPUTED_VALUE"""),103.84974796598459)</f>
        <v>103.849748</v>
      </c>
    </row>
    <row r="145" ht="15.75" customHeight="1">
      <c r="A145" s="5" t="s">
        <v>38</v>
      </c>
      <c r="C145" s="5" t="s">
        <v>21</v>
      </c>
      <c r="D145" s="5" t="s">
        <v>70</v>
      </c>
      <c r="F145" s="7">
        <f>IFERROR(__xludf.DUMMYFUNCTION("""COMPUTED_VALUE"""),54.8596779955343)</f>
        <v>54.859678</v>
      </c>
      <c r="G145" s="7">
        <f>IFERROR(__xludf.DUMMYFUNCTION("""COMPUTED_VALUE"""),122.94037294677425)</f>
        <v>122.9403729</v>
      </c>
      <c r="H145" s="7">
        <f>IFERROR(__xludf.DUMMYFUNCTION("""COMPUTED_VALUE"""),246.0044785740187)</f>
        <v>246.0044786</v>
      </c>
      <c r="I145" s="7">
        <f>IFERROR(__xludf.DUMMYFUNCTION("""COMPUTED_VALUE"""),0.0)</f>
        <v>0</v>
      </c>
      <c r="J145" s="7">
        <f>IFERROR(__xludf.DUMMYFUNCTION("""COMPUTED_VALUE"""),204.95617885446168)</f>
        <v>204.9561789</v>
      </c>
      <c r="K145" s="7">
        <f>IFERROR(__xludf.DUMMYFUNCTION("""COMPUTED_VALUE"""),471.0858347880617)</f>
        <v>471.0858348</v>
      </c>
      <c r="L145" s="7">
        <f>IFERROR(__xludf.DUMMYFUNCTION("""COMPUTED_VALUE"""),91.54924389795373)</f>
        <v>91.5492439</v>
      </c>
    </row>
    <row r="146" ht="15.75" customHeight="1">
      <c r="A146" s="5" t="s">
        <v>38</v>
      </c>
      <c r="C146" s="5" t="s">
        <v>21</v>
      </c>
      <c r="D146" s="5" t="s">
        <v>73</v>
      </c>
      <c r="F146" s="7">
        <f>IFERROR(__xludf.DUMMYFUNCTION("""COMPUTED_VALUE"""),623.0038167246772)</f>
        <v>623.0038167</v>
      </c>
      <c r="G146" s="7">
        <f>IFERROR(__xludf.DUMMYFUNCTION("""COMPUTED_VALUE"""),316.8673946347368)</f>
        <v>316.8673946</v>
      </c>
      <c r="H146" s="7">
        <f>IFERROR(__xludf.DUMMYFUNCTION("""COMPUTED_VALUE"""),349.2807772868843)</f>
        <v>349.2807773</v>
      </c>
      <c r="I146" s="7">
        <f>IFERROR(__xludf.DUMMYFUNCTION("""COMPUTED_VALUE"""),512.3562619493492)</f>
        <v>512.3562619</v>
      </c>
      <c r="J146" s="7">
        <f>IFERROR(__xludf.DUMMYFUNCTION("""COMPUTED_VALUE"""),448.01202688409586)</f>
        <v>448.0120269</v>
      </c>
      <c r="K146" s="7">
        <f>IFERROR(__xludf.DUMMYFUNCTION("""COMPUTED_VALUE"""),703.6943310654609)</f>
        <v>703.6943311</v>
      </c>
      <c r="L146" s="7">
        <f>IFERROR(__xludf.DUMMYFUNCTION("""COMPUTED_VALUE"""),385.19892466848984)</f>
        <v>385.1989247</v>
      </c>
    </row>
    <row r="147" ht="15.75" customHeight="1">
      <c r="A147" s="5" t="s">
        <v>38</v>
      </c>
      <c r="C147" s="5" t="s">
        <v>21</v>
      </c>
      <c r="D147" s="5" t="s">
        <v>74</v>
      </c>
      <c r="F147" s="7">
        <f>IFERROR(__xludf.DUMMYFUNCTION("""COMPUTED_VALUE"""),203.19399783156294)</f>
        <v>203.1939978</v>
      </c>
      <c r="G147" s="7">
        <f>IFERROR(__xludf.DUMMYFUNCTION("""COMPUTED_VALUE"""),296.1355215446499)</f>
        <v>296.1355215</v>
      </c>
      <c r="H147" s="7">
        <f>IFERROR(__xludf.DUMMYFUNCTION("""COMPUTED_VALUE"""),213.60212411210117)</f>
        <v>213.6021241</v>
      </c>
      <c r="I147" s="7">
        <f>IFERROR(__xludf.DUMMYFUNCTION("""COMPUTED_VALUE"""),770.5080489525939)</f>
        <v>770.508049</v>
      </c>
      <c r="J147" s="7">
        <f>IFERROR(__xludf.DUMMYFUNCTION("""COMPUTED_VALUE"""),375.2392515928175)</f>
        <v>375.2392516</v>
      </c>
      <c r="K147" s="7">
        <f>IFERROR(__xludf.DUMMYFUNCTION("""COMPUTED_VALUE"""),229.56130296417413)</f>
        <v>229.561303</v>
      </c>
      <c r="L147" s="7">
        <f>IFERROR(__xludf.DUMMYFUNCTION("""COMPUTED_VALUE"""),356.07560698641987)</f>
        <v>356.075607</v>
      </c>
    </row>
    <row r="148" ht="15.75" customHeight="1">
      <c r="A148" s="5" t="s">
        <v>38</v>
      </c>
      <c r="C148" s="5" t="s">
        <v>21</v>
      </c>
      <c r="D148" s="5" t="s">
        <v>75</v>
      </c>
      <c r="E148" s="5">
        <v>5.0</v>
      </c>
      <c r="F148" s="7">
        <f>IFERROR(__xludf.DUMMYFUNCTION("""COMPUTED_VALUE"""),100.0)</f>
        <v>100</v>
      </c>
      <c r="G148" s="7">
        <f>IFERROR(__xludf.DUMMYFUNCTION("""COMPUTED_VALUE"""),100.0)</f>
        <v>100</v>
      </c>
      <c r="H148" s="7">
        <f>IFERROR(__xludf.DUMMYFUNCTION("""COMPUTED_VALUE"""),100.0)</f>
        <v>100</v>
      </c>
      <c r="I148" s="7">
        <f>IFERROR(__xludf.DUMMYFUNCTION("""COMPUTED_VALUE"""),100.0)</f>
        <v>100</v>
      </c>
      <c r="J148" s="7">
        <f>IFERROR(__xludf.DUMMYFUNCTION("""COMPUTED_VALUE"""),100.0)</f>
        <v>100</v>
      </c>
      <c r="K148" s="7">
        <f>IFERROR(__xludf.DUMMYFUNCTION("""COMPUTED_VALUE"""),100.0)</f>
        <v>100</v>
      </c>
      <c r="L148" s="7">
        <f>IFERROR(__xludf.DUMMYFUNCTION("""COMPUTED_VALUE"""),100.0)</f>
        <v>100</v>
      </c>
    </row>
    <row r="149" ht="15.75" customHeight="1">
      <c r="A149" s="5" t="s">
        <v>38</v>
      </c>
      <c r="B149" s="5">
        <v>5.0</v>
      </c>
      <c r="C149" s="5" t="s">
        <v>48</v>
      </c>
      <c r="D149" s="8" t="s">
        <v>76</v>
      </c>
      <c r="E149" s="5">
        <v>10.0</v>
      </c>
      <c r="F149" s="5"/>
      <c r="G149" s="5"/>
      <c r="H149" s="5"/>
      <c r="I149" s="5"/>
      <c r="J149" s="5"/>
      <c r="K149" s="5"/>
      <c r="L149" s="5"/>
    </row>
    <row r="150" ht="15.75" customHeight="1">
      <c r="A150" s="5" t="s">
        <v>38</v>
      </c>
      <c r="C150" s="5" t="s">
        <v>21</v>
      </c>
      <c r="D150" s="5" t="s">
        <v>79</v>
      </c>
      <c r="E150" s="5">
        <v>0.5</v>
      </c>
      <c r="F150" s="7">
        <f>IFERROR(__xludf.DUMMYFUNCTION("""COMPUTED_VALUE"""),80.73878627968337)</f>
        <v>80.73878628</v>
      </c>
      <c r="G150" s="7">
        <f>IFERROR(__xludf.DUMMYFUNCTION("""COMPUTED_VALUE"""),96.93128752501667)</f>
        <v>96.93128753</v>
      </c>
      <c r="H150" s="7">
        <f>IFERROR(__xludf.DUMMYFUNCTION("""COMPUTED_VALUE"""),90.47619047619048)</f>
        <v>90.47619048</v>
      </c>
      <c r="I150" s="7">
        <f>IFERROR(__xludf.DUMMYFUNCTION("""COMPUTED_VALUE"""),102.98363811357075)</f>
        <v>102.9836381</v>
      </c>
      <c r="J150" s="7">
        <f>IFERROR(__xludf.DUMMYFUNCTION("""COMPUTED_VALUE"""),89.16172734970364)</f>
        <v>89.16172735</v>
      </c>
      <c r="K150" s="7">
        <f>IFERROR(__xludf.DUMMYFUNCTION("""COMPUTED_VALUE"""),96.31106679960119)</f>
        <v>96.3110668</v>
      </c>
      <c r="L150" s="7">
        <f>IFERROR(__xludf.DUMMYFUNCTION("""COMPUTED_VALUE"""),92.89473684210526)</f>
        <v>92.89473684</v>
      </c>
    </row>
    <row r="151" ht="15.75" customHeight="1">
      <c r="A151" s="5" t="s">
        <v>38</v>
      </c>
      <c r="C151" s="5" t="s">
        <v>21</v>
      </c>
      <c r="D151" s="5" t="s">
        <v>81</v>
      </c>
      <c r="E151" s="5">
        <v>1.5</v>
      </c>
      <c r="F151" s="7">
        <f>IFERROR(__xludf.DUMMYFUNCTION("""COMPUTED_VALUE"""),155.82856886981136)</f>
        <v>155.8285689</v>
      </c>
      <c r="G151" s="7">
        <f>IFERROR(__xludf.DUMMYFUNCTION("""COMPUTED_VALUE"""),168.21231592484912)</f>
        <v>168.2123159</v>
      </c>
      <c r="H151" s="7">
        <f>IFERROR(__xludf.DUMMYFUNCTION("""COMPUTED_VALUE"""),207.63013198434467)</f>
        <v>207.630132</v>
      </c>
      <c r="I151" s="7">
        <f>IFERROR(__xludf.DUMMYFUNCTION("""COMPUTED_VALUE"""),218.09670935266035)</f>
        <v>218.0967094</v>
      </c>
      <c r="J151" s="7">
        <f>IFERROR(__xludf.DUMMYFUNCTION("""COMPUTED_VALUE"""),103.29473713621921)</f>
        <v>103.2947371</v>
      </c>
      <c r="K151" s="7">
        <f>IFERROR(__xludf.DUMMYFUNCTION("""COMPUTED_VALUE"""),135.31250540526534)</f>
        <v>135.3125054</v>
      </c>
      <c r="L151" s="7">
        <f>IFERROR(__xludf.DUMMYFUNCTION("""COMPUTED_VALUE"""),161.22111383315703)</f>
        <v>161.2211138</v>
      </c>
    </row>
    <row r="152" ht="15.75" customHeight="1">
      <c r="A152" s="5" t="s">
        <v>38</v>
      </c>
      <c r="C152" s="5" t="s">
        <v>21</v>
      </c>
      <c r="D152" s="5" t="s">
        <v>82</v>
      </c>
      <c r="E152" s="5">
        <v>2.0</v>
      </c>
      <c r="F152" s="7">
        <f>IFERROR(__xludf.DUMMYFUNCTION("""COMPUTED_VALUE"""),77.87122767660854)</f>
        <v>77.87122768</v>
      </c>
      <c r="G152" s="7">
        <f>IFERROR(__xludf.DUMMYFUNCTION("""COMPUTED_VALUE"""),83.12124345094912)</f>
        <v>83.12124345</v>
      </c>
      <c r="H152" s="7">
        <f>IFERROR(__xludf.DUMMYFUNCTION("""COMPUTED_VALUE"""),108.26863435981586)</f>
        <v>108.2686344</v>
      </c>
      <c r="I152" s="7">
        <f>IFERROR(__xludf.DUMMYFUNCTION("""COMPUTED_VALUE"""),84.3926420428641)</f>
        <v>84.39264204</v>
      </c>
      <c r="J152" s="7">
        <f>IFERROR(__xludf.DUMMYFUNCTION("""COMPUTED_VALUE"""),55.33929915843736)</f>
        <v>55.33929916</v>
      </c>
      <c r="K152" s="7">
        <f>IFERROR(__xludf.DUMMYFUNCTION("""COMPUTED_VALUE"""),67.97913278471465)</f>
        <v>67.97913278</v>
      </c>
      <c r="L152" s="7">
        <f>IFERROR(__xludf.DUMMYFUNCTION("""COMPUTED_VALUE"""),65.31197372940181)</f>
        <v>65.31197373</v>
      </c>
    </row>
    <row r="153" ht="15.75" customHeight="1">
      <c r="A153" s="5" t="s">
        <v>38</v>
      </c>
      <c r="C153" s="5" t="s">
        <v>21</v>
      </c>
      <c r="D153" s="5" t="s">
        <v>83</v>
      </c>
      <c r="E153" s="5">
        <v>4.0</v>
      </c>
      <c r="F153" s="7">
        <f>IFERROR(__xludf.DUMMYFUNCTION("""COMPUTED_VALUE"""),100.0)</f>
        <v>100</v>
      </c>
      <c r="G153" s="7">
        <f>IFERROR(__xludf.DUMMYFUNCTION("""COMPUTED_VALUE"""),1150.0)</f>
        <v>1150</v>
      </c>
      <c r="H153" s="7">
        <f>IFERROR(__xludf.DUMMYFUNCTION("""COMPUTED_VALUE"""),0.0)</f>
        <v>0</v>
      </c>
      <c r="I153" s="7">
        <f>IFERROR(__xludf.DUMMYFUNCTION("""COMPUTED_VALUE"""),100.0)</f>
        <v>100</v>
      </c>
      <c r="J153" s="7">
        <f>IFERROR(__xludf.DUMMYFUNCTION("""COMPUTED_VALUE"""),500.0)</f>
        <v>500</v>
      </c>
      <c r="K153" s="7">
        <f>IFERROR(__xludf.DUMMYFUNCTION("""COMPUTED_VALUE"""),100.0)</f>
        <v>100</v>
      </c>
      <c r="L153" s="7">
        <f>IFERROR(__xludf.DUMMYFUNCTION("""COMPUTED_VALUE"""),800.0)</f>
        <v>800</v>
      </c>
    </row>
    <row r="154" ht="15.75" customHeight="1">
      <c r="A154" s="5" t="s">
        <v>38</v>
      </c>
      <c r="C154" s="5" t="s">
        <v>21</v>
      </c>
      <c r="D154" s="5" t="s">
        <v>84</v>
      </c>
      <c r="E154" s="5">
        <v>2.0</v>
      </c>
      <c r="F154" s="7">
        <f>IFERROR(__xludf.DUMMYFUNCTION("""COMPUTED_VALUE"""),100.0)</f>
        <v>100</v>
      </c>
      <c r="G154" s="7">
        <f>IFERROR(__xludf.DUMMYFUNCTION("""COMPUTED_VALUE"""),2554.689162486701)</f>
        <v>2554.689162</v>
      </c>
      <c r="H154" s="7">
        <f>IFERROR(__xludf.DUMMYFUNCTION("""COMPUTED_VALUE"""),0.0)</f>
        <v>0</v>
      </c>
      <c r="I154" s="7">
        <f>IFERROR(__xludf.DUMMYFUNCTION("""COMPUTED_VALUE"""),100.0)</f>
        <v>100</v>
      </c>
      <c r="J154" s="7">
        <f>IFERROR(__xludf.DUMMYFUNCTION("""COMPUTED_VALUE"""),2105.9260525915806)</f>
        <v>2105.926053</v>
      </c>
      <c r="K154" s="7">
        <f>IFERROR(__xludf.DUMMYFUNCTION("""COMPUTED_VALUE"""),100.0)</f>
        <v>100</v>
      </c>
      <c r="L154" s="7">
        <f>IFERROR(__xludf.DUMMYFUNCTION("""COMPUTED_VALUE"""),560.0205198358417)</f>
        <v>560.0205198</v>
      </c>
    </row>
    <row r="155" ht="15.75" customHeight="1">
      <c r="A155" s="5" t="s">
        <v>38</v>
      </c>
      <c r="B155" s="5">
        <v>6.0</v>
      </c>
      <c r="C155" s="5" t="s">
        <v>48</v>
      </c>
      <c r="D155" s="8" t="s">
        <v>85</v>
      </c>
      <c r="E155" s="5">
        <v>8.0</v>
      </c>
      <c r="F155" s="5"/>
      <c r="G155" s="5"/>
      <c r="H155" s="5"/>
      <c r="I155" s="5"/>
      <c r="J155" s="5"/>
      <c r="K155" s="5"/>
      <c r="L155" s="5"/>
    </row>
    <row r="156" ht="15.75" customHeight="1">
      <c r="A156" s="5" t="s">
        <v>38</v>
      </c>
      <c r="C156" s="5" t="s">
        <v>21</v>
      </c>
      <c r="D156" s="5" t="s">
        <v>86</v>
      </c>
      <c r="E156" s="5">
        <v>2.0</v>
      </c>
      <c r="F156" s="7">
        <f>IFERROR(__xludf.DUMMYFUNCTION("""COMPUTED_VALUE"""),100.0)</f>
        <v>100</v>
      </c>
      <c r="G156" s="7">
        <f>IFERROR(__xludf.DUMMYFUNCTION("""COMPUTED_VALUE"""),100.0)</f>
        <v>100</v>
      </c>
      <c r="H156" s="7">
        <f>IFERROR(__xludf.DUMMYFUNCTION("""COMPUTED_VALUE"""),200.0)</f>
        <v>200</v>
      </c>
      <c r="I156" s="7">
        <f>IFERROR(__xludf.DUMMYFUNCTION("""COMPUTED_VALUE"""),100.0)</f>
        <v>100</v>
      </c>
      <c r="J156" s="7">
        <f>IFERROR(__xludf.DUMMYFUNCTION("""COMPUTED_VALUE"""),100.0)</f>
        <v>100</v>
      </c>
      <c r="K156" s="7">
        <f>IFERROR(__xludf.DUMMYFUNCTION("""COMPUTED_VALUE"""),100.0)</f>
        <v>100</v>
      </c>
      <c r="L156" s="7">
        <f>IFERROR(__xludf.DUMMYFUNCTION("""COMPUTED_VALUE"""),100.0)</f>
        <v>100</v>
      </c>
    </row>
    <row r="157" ht="15.75" customHeight="1">
      <c r="A157" s="5" t="s">
        <v>38</v>
      </c>
      <c r="C157" s="5" t="s">
        <v>21</v>
      </c>
      <c r="D157" s="5" t="s">
        <v>87</v>
      </c>
      <c r="E157" s="5">
        <v>2.0</v>
      </c>
      <c r="F157" s="7">
        <f>IFERROR(__xludf.DUMMYFUNCTION("""COMPUTED_VALUE"""),133.06666666666666)</f>
        <v>133.0666667</v>
      </c>
      <c r="G157" s="7">
        <f>IFERROR(__xludf.DUMMYFUNCTION("""COMPUTED_VALUE"""),139.2)</f>
        <v>139.2</v>
      </c>
      <c r="H157" s="7">
        <f>IFERROR(__xludf.DUMMYFUNCTION("""COMPUTED_VALUE"""),125.26666666666667)</f>
        <v>125.2666667</v>
      </c>
      <c r="I157" s="7">
        <f>IFERROR(__xludf.DUMMYFUNCTION("""COMPUTED_VALUE"""),133.73333333333335)</f>
        <v>133.7333333</v>
      </c>
      <c r="J157" s="7">
        <f>IFERROR(__xludf.DUMMYFUNCTION("""COMPUTED_VALUE"""),135.5)</f>
        <v>135.5</v>
      </c>
      <c r="K157" s="7">
        <f>IFERROR(__xludf.DUMMYFUNCTION("""COMPUTED_VALUE"""),133.36666666666667)</f>
        <v>133.3666667</v>
      </c>
      <c r="L157" s="7">
        <f>IFERROR(__xludf.DUMMYFUNCTION("""COMPUTED_VALUE"""),125.83333333333333)</f>
        <v>125.8333333</v>
      </c>
    </row>
    <row r="158" ht="15.75" customHeight="1">
      <c r="A158" s="5" t="s">
        <v>38</v>
      </c>
      <c r="C158" s="5" t="s">
        <v>21</v>
      </c>
      <c r="D158" s="5" t="s">
        <v>88</v>
      </c>
      <c r="E158" s="5">
        <v>2.0</v>
      </c>
      <c r="F158" s="7">
        <f>IFERROR(__xludf.DUMMYFUNCTION("""COMPUTED_VALUE"""),188.45253585391058)</f>
        <v>188.4525359</v>
      </c>
      <c r="G158" s="7">
        <f>IFERROR(__xludf.DUMMYFUNCTION("""COMPUTED_VALUE"""),159.32944835951236)</f>
        <v>159.3294484</v>
      </c>
      <c r="H158" s="7">
        <f>IFERROR(__xludf.DUMMYFUNCTION("""COMPUTED_VALUE"""),161.0634366238605)</f>
        <v>161.0634366</v>
      </c>
      <c r="I158" s="7">
        <f>IFERROR(__xludf.DUMMYFUNCTION("""COMPUTED_VALUE"""),140.47382583977333)</f>
        <v>140.4738258</v>
      </c>
      <c r="J158" s="7">
        <f>IFERROR(__xludf.DUMMYFUNCTION("""COMPUTED_VALUE"""),115.99663516042895)</f>
        <v>115.9966352</v>
      </c>
      <c r="K158" s="7">
        <f>IFERROR(__xludf.DUMMYFUNCTION("""COMPUTED_VALUE"""),138.3308718722614)</f>
        <v>138.3308719</v>
      </c>
      <c r="L158" s="7">
        <f>IFERROR(__xludf.DUMMYFUNCTION("""COMPUTED_VALUE"""),115.60330194368258)</f>
        <v>115.6033019</v>
      </c>
    </row>
    <row r="159" ht="15.75" customHeight="1">
      <c r="A159" s="5" t="s">
        <v>38</v>
      </c>
      <c r="C159" s="5" t="s">
        <v>21</v>
      </c>
      <c r="D159" s="5" t="s">
        <v>89</v>
      </c>
      <c r="E159" s="5">
        <v>1.2</v>
      </c>
      <c r="F159" s="7">
        <f>IFERROR(__xludf.DUMMYFUNCTION("""COMPUTED_VALUE"""),165.08966695132366)</f>
        <v>165.089667</v>
      </c>
      <c r="G159" s="7">
        <f>IFERROR(__xludf.DUMMYFUNCTION("""COMPUTED_VALUE"""),169.0416796590791)</f>
        <v>169.0416797</v>
      </c>
      <c r="H159" s="7">
        <f>IFERROR(__xludf.DUMMYFUNCTION("""COMPUTED_VALUE"""),226.12913614040738)</f>
        <v>226.1291361</v>
      </c>
      <c r="I159" s="7">
        <f>IFERROR(__xludf.DUMMYFUNCTION("""COMPUTED_VALUE"""),184.02474896034082)</f>
        <v>184.024749</v>
      </c>
      <c r="J159" s="7">
        <f>IFERROR(__xludf.DUMMYFUNCTION("""COMPUTED_VALUE"""),183.11960690316397)</f>
        <v>183.1196069</v>
      </c>
      <c r="K159" s="7">
        <f>IFERROR(__xludf.DUMMYFUNCTION("""COMPUTED_VALUE"""),185.9356894553882)</f>
        <v>185.9356895</v>
      </c>
      <c r="L159" s="7">
        <f>IFERROR(__xludf.DUMMYFUNCTION("""COMPUTED_VALUE"""),149.45159249103565)</f>
        <v>149.4515925</v>
      </c>
    </row>
    <row r="160" ht="15.75" customHeight="1">
      <c r="A160" s="5" t="s">
        <v>38</v>
      </c>
      <c r="C160" s="5" t="s">
        <v>21</v>
      </c>
      <c r="D160" s="5" t="s">
        <v>92</v>
      </c>
      <c r="E160" s="5">
        <v>0.8</v>
      </c>
      <c r="F160" s="7">
        <f>IFERROR(__xludf.DUMMYFUNCTION("""COMPUTED_VALUE"""),99.93813532999869)</f>
        <v>99.93813533</v>
      </c>
      <c r="G160" s="7">
        <f>IFERROR(__xludf.DUMMYFUNCTION("""COMPUTED_VALUE"""),110.0)</f>
        <v>110</v>
      </c>
      <c r="H160" s="7">
        <f>IFERROR(__xludf.DUMMYFUNCTION("""COMPUTED_VALUE"""),110.0)</f>
        <v>110</v>
      </c>
      <c r="I160" s="7">
        <f>IFERROR(__xludf.DUMMYFUNCTION("""COMPUTED_VALUE"""),110.0)</f>
        <v>110</v>
      </c>
      <c r="J160" s="7">
        <f>IFERROR(__xludf.DUMMYFUNCTION("""COMPUTED_VALUE"""),110.0)</f>
        <v>110</v>
      </c>
      <c r="K160" s="7">
        <f>IFERROR(__xludf.DUMMYFUNCTION("""COMPUTED_VALUE"""),110.0)</f>
        <v>110</v>
      </c>
      <c r="L160" s="7">
        <f>IFERROR(__xludf.DUMMYFUNCTION("""COMPUTED_VALUE"""),110.0)</f>
        <v>110</v>
      </c>
    </row>
    <row r="161" ht="15.75" customHeight="1">
      <c r="A161" s="5" t="s">
        <v>38</v>
      </c>
      <c r="B161" s="5">
        <v>7.0</v>
      </c>
      <c r="C161" s="5" t="s">
        <v>48</v>
      </c>
      <c r="D161" s="8" t="s">
        <v>94</v>
      </c>
      <c r="E161" s="5">
        <v>7.0</v>
      </c>
      <c r="F161" s="5"/>
      <c r="G161" s="5"/>
      <c r="H161" s="5"/>
      <c r="I161" s="5"/>
      <c r="J161" s="5"/>
      <c r="K161" s="5"/>
      <c r="L161" s="5"/>
    </row>
    <row r="162" ht="15.75" customHeight="1">
      <c r="A162" s="5" t="s">
        <v>38</v>
      </c>
      <c r="C162" s="5" t="s">
        <v>21</v>
      </c>
      <c r="D162" s="5" t="s">
        <v>95</v>
      </c>
      <c r="E162" s="5">
        <v>5.0</v>
      </c>
      <c r="F162" s="7">
        <f>IFERROR(__xludf.DUMMYFUNCTION("""COMPUTED_VALUE"""),130.66666666666666)</f>
        <v>130.6666667</v>
      </c>
      <c r="G162" s="7">
        <f>IFERROR(__xludf.DUMMYFUNCTION("""COMPUTED_VALUE"""),134.9514563106796)</f>
        <v>134.9514563</v>
      </c>
      <c r="H162" s="7">
        <f>IFERROR(__xludf.DUMMYFUNCTION("""COMPUTED_VALUE"""),136.27450980392157)</f>
        <v>136.2745098</v>
      </c>
      <c r="I162" s="7">
        <f>IFERROR(__xludf.DUMMYFUNCTION("""COMPUTED_VALUE"""),136.17021276595744)</f>
        <v>136.1702128</v>
      </c>
      <c r="J162" s="7">
        <f>IFERROR(__xludf.DUMMYFUNCTION("""COMPUTED_VALUE"""),135.71428571428572)</f>
        <v>135.7142857</v>
      </c>
      <c r="K162" s="7">
        <f>IFERROR(__xludf.DUMMYFUNCTION("""COMPUTED_VALUE"""),142.156862745098)</f>
        <v>142.1568627</v>
      </c>
      <c r="L162" s="7">
        <f>IFERROR(__xludf.DUMMYFUNCTION("""COMPUTED_VALUE"""),135.71428571428572)</f>
        <v>135.7142857</v>
      </c>
    </row>
    <row r="163" ht="15.75" customHeight="1">
      <c r="A163" s="5" t="s">
        <v>38</v>
      </c>
      <c r="C163" s="5" t="s">
        <v>21</v>
      </c>
      <c r="D163" s="5" t="s">
        <v>96</v>
      </c>
      <c r="E163" s="5">
        <v>2.0</v>
      </c>
      <c r="F163" s="7">
        <f>IFERROR(__xludf.DUMMYFUNCTION("""COMPUTED_VALUE"""),100.0)</f>
        <v>100</v>
      </c>
      <c r="G163" s="7">
        <f>IFERROR(__xludf.DUMMYFUNCTION("""COMPUTED_VALUE"""),100.0)</f>
        <v>100</v>
      </c>
      <c r="H163" s="7">
        <f>IFERROR(__xludf.DUMMYFUNCTION("""COMPUTED_VALUE"""),100.0)</f>
        <v>100</v>
      </c>
      <c r="I163" s="7">
        <f>IFERROR(__xludf.DUMMYFUNCTION("""COMPUTED_VALUE"""),150.0)</f>
        <v>150</v>
      </c>
      <c r="J163" s="7">
        <f>IFERROR(__xludf.DUMMYFUNCTION("""COMPUTED_VALUE"""),150.0)</f>
        <v>150</v>
      </c>
      <c r="K163" s="7">
        <f>IFERROR(__xludf.DUMMYFUNCTION("""COMPUTED_VALUE"""),100.0)</f>
        <v>100</v>
      </c>
      <c r="L163" s="7">
        <f>IFERROR(__xludf.DUMMYFUNCTION("""COMPUTED_VALUE"""),100.0)</f>
        <v>100</v>
      </c>
    </row>
    <row r="164" ht="15.75" customHeight="1">
      <c r="A164" s="5" t="s">
        <v>38</v>
      </c>
      <c r="B164" s="5">
        <v>8.0</v>
      </c>
      <c r="C164" s="5" t="s">
        <v>48</v>
      </c>
      <c r="D164" s="8" t="s">
        <v>97</v>
      </c>
      <c r="E164" s="5">
        <v>8.0</v>
      </c>
      <c r="F164" s="5"/>
      <c r="G164" s="5"/>
      <c r="H164" s="5"/>
      <c r="I164" s="5"/>
      <c r="J164" s="5"/>
      <c r="K164" s="5"/>
      <c r="L164" s="5"/>
    </row>
    <row r="165" ht="15.75" customHeight="1">
      <c r="A165" s="5" t="s">
        <v>38</v>
      </c>
      <c r="C165" s="5" t="s">
        <v>21</v>
      </c>
      <c r="D165" s="5" t="s">
        <v>98</v>
      </c>
      <c r="E165" s="5">
        <v>6.0</v>
      </c>
      <c r="F165" s="7">
        <f>IFERROR(__xludf.DUMMYFUNCTION("""COMPUTED_VALUE"""),95.29902777777778)</f>
        <v>95.29902778</v>
      </c>
      <c r="G165" s="7">
        <f>IFERROR(__xludf.DUMMYFUNCTION("""COMPUTED_VALUE"""),110.00000000000001)</f>
        <v>110</v>
      </c>
      <c r="H165" s="7">
        <f>IFERROR(__xludf.DUMMYFUNCTION("""COMPUTED_VALUE"""),110.00000000000001)</f>
        <v>110</v>
      </c>
      <c r="I165" s="7">
        <f>IFERROR(__xludf.DUMMYFUNCTION("""COMPUTED_VALUE"""),110.00000000000001)</f>
        <v>110</v>
      </c>
      <c r="J165" s="7">
        <f>IFERROR(__xludf.DUMMYFUNCTION("""COMPUTED_VALUE"""),101.73122222222221)</f>
        <v>101.7312222</v>
      </c>
      <c r="K165" s="7">
        <f>IFERROR(__xludf.DUMMYFUNCTION("""COMPUTED_VALUE"""),110.00000000000001)</f>
        <v>110</v>
      </c>
      <c r="L165" s="7">
        <f>IFERROR(__xludf.DUMMYFUNCTION("""COMPUTED_VALUE"""),110.00000000000001)</f>
        <v>110</v>
      </c>
    </row>
    <row r="166" ht="15.75" customHeight="1">
      <c r="A166" s="5" t="s">
        <v>38</v>
      </c>
      <c r="C166" s="5" t="s">
        <v>21</v>
      </c>
      <c r="D166" s="5" t="s">
        <v>99</v>
      </c>
      <c r="E166" s="5">
        <v>2.0</v>
      </c>
      <c r="F166" s="7">
        <f>IFERROR(__xludf.DUMMYFUNCTION("""COMPUTED_VALUE"""),110.00000000000001)</f>
        <v>110</v>
      </c>
      <c r="G166" s="7">
        <f>IFERROR(__xludf.DUMMYFUNCTION("""COMPUTED_VALUE"""),110.00000000000001)</f>
        <v>110</v>
      </c>
      <c r="H166" s="7">
        <f>IFERROR(__xludf.DUMMYFUNCTION("""COMPUTED_VALUE"""),110.00000000000001)</f>
        <v>110</v>
      </c>
      <c r="I166" s="7">
        <f>IFERROR(__xludf.DUMMYFUNCTION("""COMPUTED_VALUE"""),110.00000000000001)</f>
        <v>110</v>
      </c>
      <c r="J166" s="7">
        <f>IFERROR(__xludf.DUMMYFUNCTION("""COMPUTED_VALUE"""),110.00000000000001)</f>
        <v>110</v>
      </c>
      <c r="K166" s="7">
        <f>IFERROR(__xludf.DUMMYFUNCTION("""COMPUTED_VALUE"""),110.00000000000001)</f>
        <v>110</v>
      </c>
      <c r="L166" s="7">
        <f>IFERROR(__xludf.DUMMYFUNCTION("""COMPUTED_VALUE"""),110.00000000000001)</f>
        <v>110</v>
      </c>
    </row>
    <row r="167" ht="15.75" customHeight="1">
      <c r="A167" s="5" t="s">
        <v>38</v>
      </c>
      <c r="B167" s="5">
        <v>9.0</v>
      </c>
      <c r="C167" s="5" t="s">
        <v>48</v>
      </c>
      <c r="D167" s="8" t="s">
        <v>101</v>
      </c>
      <c r="E167" s="5">
        <v>6.0</v>
      </c>
      <c r="F167" s="5"/>
      <c r="G167" s="5"/>
      <c r="H167" s="5"/>
      <c r="I167" s="5"/>
      <c r="J167" s="5"/>
      <c r="K167" s="5"/>
      <c r="L167" s="5"/>
    </row>
    <row r="168" ht="15.75" customHeight="1">
      <c r="A168" s="5" t="s">
        <v>38</v>
      </c>
      <c r="C168" s="5" t="s">
        <v>21</v>
      </c>
      <c r="D168" s="5" t="s">
        <v>102</v>
      </c>
      <c r="E168" s="5">
        <v>2.0</v>
      </c>
      <c r="F168" s="7">
        <f>IFERROR(__xludf.DUMMYFUNCTION("""COMPUTED_VALUE"""),713.6108163048842)</f>
        <v>713.6108163</v>
      </c>
      <c r="G168" s="7">
        <f>IFERROR(__xludf.DUMMYFUNCTION("""COMPUTED_VALUE"""),497.97141075481005)</f>
        <v>497.9714108</v>
      </c>
      <c r="H168" s="7">
        <f>IFERROR(__xludf.DUMMYFUNCTION("""COMPUTED_VALUE"""),152.18717451414943)</f>
        <v>152.1871745</v>
      </c>
      <c r="I168" s="7">
        <f>IFERROR(__xludf.DUMMYFUNCTION("""COMPUTED_VALUE"""),80.05417472806077)</f>
        <v>80.05417473</v>
      </c>
      <c r="J168" s="7">
        <f>IFERROR(__xludf.DUMMYFUNCTION("""COMPUTED_VALUE"""),184.05137979024548)</f>
        <v>184.0513798</v>
      </c>
      <c r="K168" s="7">
        <f>IFERROR(__xludf.DUMMYFUNCTION("""COMPUTED_VALUE"""),86.2876753369394)</f>
        <v>86.28767534</v>
      </c>
      <c r="L168" s="7">
        <f>IFERROR(__xludf.DUMMYFUNCTION("""COMPUTED_VALUE"""),159.32121028613713)</f>
        <v>159.3212103</v>
      </c>
    </row>
    <row r="169" ht="15.75" customHeight="1">
      <c r="A169" s="5" t="s">
        <v>38</v>
      </c>
      <c r="C169" s="5" t="s">
        <v>21</v>
      </c>
      <c r="D169" s="5" t="s">
        <v>103</v>
      </c>
      <c r="E169" s="5">
        <v>2.0</v>
      </c>
      <c r="F169" s="7">
        <f>IFERROR(__xludf.DUMMYFUNCTION("""COMPUTED_VALUE"""),340.34653259051686)</f>
        <v>340.3465326</v>
      </c>
      <c r="G169" s="7">
        <f>IFERROR(__xludf.DUMMYFUNCTION("""COMPUTED_VALUE"""),425.2643486529191)</f>
        <v>425.2643487</v>
      </c>
      <c r="H169" s="7">
        <f>IFERROR(__xludf.DUMMYFUNCTION("""COMPUTED_VALUE"""),450.44236995043843)</f>
        <v>450.44237</v>
      </c>
      <c r="I169" s="7">
        <f>IFERROR(__xludf.DUMMYFUNCTION("""COMPUTED_VALUE"""),618.5323132936109)</f>
        <v>618.5323133</v>
      </c>
      <c r="J169" s="7">
        <f>IFERROR(__xludf.DUMMYFUNCTION("""COMPUTED_VALUE"""),448.93275655836834)</f>
        <v>448.9327566</v>
      </c>
      <c r="K169" s="7">
        <f>IFERROR(__xludf.DUMMYFUNCTION("""COMPUTED_VALUE"""),746.5575678623861)</f>
        <v>746.5575679</v>
      </c>
      <c r="L169" s="7">
        <f>IFERROR(__xludf.DUMMYFUNCTION("""COMPUTED_VALUE"""),694.6592112323685)</f>
        <v>694.6592112</v>
      </c>
    </row>
    <row r="170" ht="15.75" customHeight="1">
      <c r="A170" s="5" t="s">
        <v>38</v>
      </c>
      <c r="C170" s="5" t="s">
        <v>21</v>
      </c>
      <c r="D170" s="5" t="s">
        <v>104</v>
      </c>
      <c r="E170" s="5">
        <v>2.0</v>
      </c>
      <c r="F170" s="7">
        <f>IFERROR(__xludf.DUMMYFUNCTION("""COMPUTED_VALUE"""),100.0)</f>
        <v>100</v>
      </c>
      <c r="G170" s="7">
        <f>IFERROR(__xludf.DUMMYFUNCTION("""COMPUTED_VALUE"""),100.0)</f>
        <v>100</v>
      </c>
      <c r="H170" s="7">
        <f>IFERROR(__xludf.DUMMYFUNCTION("""COMPUTED_VALUE"""),100.0)</f>
        <v>100</v>
      </c>
      <c r="I170" s="7">
        <f>IFERROR(__xludf.DUMMYFUNCTION("""COMPUTED_VALUE"""),100.0)</f>
        <v>100</v>
      </c>
      <c r="J170" s="7">
        <f>IFERROR(__xludf.DUMMYFUNCTION("""COMPUTED_VALUE"""),100.0)</f>
        <v>100</v>
      </c>
      <c r="K170" s="7">
        <f>IFERROR(__xludf.DUMMYFUNCTION("""COMPUTED_VALUE"""),100.0)</f>
        <v>100</v>
      </c>
      <c r="L170" s="7">
        <f>IFERROR(__xludf.DUMMYFUNCTION("""COMPUTED_VALUE"""),100.0)</f>
        <v>100</v>
      </c>
    </row>
    <row r="171" ht="15.75" customHeight="1">
      <c r="A171" s="5" t="s">
        <v>38</v>
      </c>
      <c r="B171" s="5">
        <v>10.0</v>
      </c>
      <c r="C171" s="5" t="s">
        <v>48</v>
      </c>
      <c r="D171" s="8" t="s">
        <v>107</v>
      </c>
      <c r="E171" s="5">
        <v>7.0</v>
      </c>
      <c r="F171" s="5"/>
      <c r="G171" s="5"/>
      <c r="H171" s="5"/>
      <c r="I171" s="5"/>
      <c r="J171" s="5"/>
      <c r="K171" s="5"/>
      <c r="L171" s="5"/>
    </row>
    <row r="172" ht="15.75" customHeight="1">
      <c r="A172" s="5" t="s">
        <v>38</v>
      </c>
      <c r="C172" s="5" t="s">
        <v>21</v>
      </c>
      <c r="D172" s="5" t="s">
        <v>108</v>
      </c>
      <c r="E172" s="5">
        <v>3.0</v>
      </c>
      <c r="F172" s="7">
        <f>IFERROR(__xludf.DUMMYFUNCTION("""COMPUTED_VALUE"""),36.584843190755684)</f>
        <v>36.58484319</v>
      </c>
      <c r="G172" s="7">
        <f>IFERROR(__xludf.DUMMYFUNCTION("""COMPUTED_VALUE"""),50.06392155441405)</f>
        <v>50.06392155</v>
      </c>
      <c r="H172" s="7">
        <f>IFERROR(__xludf.DUMMYFUNCTION("""COMPUTED_VALUE"""),99.14168776868264)</f>
        <v>99.14168777</v>
      </c>
      <c r="I172" s="7">
        <f>IFERROR(__xludf.DUMMYFUNCTION("""COMPUTED_VALUE"""),60.45646410639968)</f>
        <v>60.45646411</v>
      </c>
      <c r="J172" s="7">
        <f>IFERROR(__xludf.DUMMYFUNCTION("""COMPUTED_VALUE"""),57.98854643943193)</f>
        <v>57.98854644</v>
      </c>
      <c r="K172" s="7">
        <f>IFERROR(__xludf.DUMMYFUNCTION("""COMPUTED_VALUE"""),44.17732332724381)</f>
        <v>44.17732333</v>
      </c>
      <c r="L172" s="7">
        <f>IFERROR(__xludf.DUMMYFUNCTION("""COMPUTED_VALUE"""),112.1203441407256)</f>
        <v>112.1203441</v>
      </c>
    </row>
    <row r="173" ht="15.75" customHeight="1">
      <c r="A173" s="5" t="s">
        <v>38</v>
      </c>
      <c r="C173" s="5" t="s">
        <v>21</v>
      </c>
      <c r="D173" s="5" t="s">
        <v>109</v>
      </c>
      <c r="E173" s="5">
        <v>2.0</v>
      </c>
      <c r="F173" s="7">
        <f>IFERROR(__xludf.DUMMYFUNCTION("""COMPUTED_VALUE"""),142.77879341864715)</f>
        <v>142.7787934</v>
      </c>
      <c r="G173" s="7">
        <f>IFERROR(__xludf.DUMMYFUNCTION("""COMPUTED_VALUE"""),131.21387283236993)</f>
        <v>131.2138728</v>
      </c>
      <c r="H173" s="7">
        <f>IFERROR(__xludf.DUMMYFUNCTION("""COMPUTED_VALUE"""),216.68211306765522)</f>
        <v>216.6821131</v>
      </c>
      <c r="I173" s="7">
        <f>IFERROR(__xludf.DUMMYFUNCTION("""COMPUTED_VALUE"""),207.14285714285717)</f>
        <v>207.1428571</v>
      </c>
      <c r="J173" s="7">
        <f>IFERROR(__xludf.DUMMYFUNCTION("""COMPUTED_VALUE"""),119.67509025270758)</f>
        <v>119.6750903</v>
      </c>
      <c r="K173" s="7">
        <f>IFERROR(__xludf.DUMMYFUNCTION("""COMPUTED_VALUE"""),132.51670378619153)</f>
        <v>132.5167038</v>
      </c>
      <c r="L173" s="7">
        <f>IFERROR(__xludf.DUMMYFUNCTION("""COMPUTED_VALUE"""),121.6123499142367)</f>
        <v>121.6123499</v>
      </c>
    </row>
    <row r="174" ht="15.75" customHeight="1">
      <c r="A174" s="5" t="s">
        <v>38</v>
      </c>
      <c r="C174" s="5" t="s">
        <v>21</v>
      </c>
      <c r="D174" s="5" t="s">
        <v>110</v>
      </c>
      <c r="E174" s="5">
        <v>2.0</v>
      </c>
      <c r="F174" s="7">
        <f>IFERROR(__xludf.DUMMYFUNCTION("""COMPUTED_VALUE"""),100.0)</f>
        <v>100</v>
      </c>
      <c r="G174" s="7">
        <f>IFERROR(__xludf.DUMMYFUNCTION("""COMPUTED_VALUE"""),100.0)</f>
        <v>100</v>
      </c>
      <c r="H174" s="7">
        <f>IFERROR(__xludf.DUMMYFUNCTION("""COMPUTED_VALUE"""),100.0)</f>
        <v>100</v>
      </c>
      <c r="I174" s="7">
        <f>IFERROR(__xludf.DUMMYFUNCTION("""COMPUTED_VALUE"""),100.0)</f>
        <v>100</v>
      </c>
      <c r="J174" s="7">
        <f>IFERROR(__xludf.DUMMYFUNCTION("""COMPUTED_VALUE"""),100.0)</f>
        <v>100</v>
      </c>
      <c r="K174" s="7">
        <f>IFERROR(__xludf.DUMMYFUNCTION("""COMPUTED_VALUE"""),100.0)</f>
        <v>100</v>
      </c>
      <c r="L174" s="7">
        <f>IFERROR(__xludf.DUMMYFUNCTION("""COMPUTED_VALUE"""),100.0)</f>
        <v>100</v>
      </c>
    </row>
    <row r="175" ht="15.75" customHeight="1">
      <c r="A175" s="5" t="s">
        <v>38</v>
      </c>
      <c r="B175" s="15">
        <v>11.0</v>
      </c>
      <c r="C175" s="5" t="s">
        <v>48</v>
      </c>
      <c r="D175" s="8" t="s">
        <v>111</v>
      </c>
      <c r="E175" s="15">
        <v>4.0</v>
      </c>
      <c r="F175" s="5"/>
      <c r="G175" s="5"/>
      <c r="H175" s="5"/>
      <c r="I175" s="5"/>
      <c r="J175" s="5"/>
      <c r="K175" s="5"/>
      <c r="L175" s="5"/>
    </row>
    <row r="176" ht="15.75" customHeight="1">
      <c r="A176" s="5" t="s">
        <v>38</v>
      </c>
      <c r="C176" s="5" t="b">
        <v>0</v>
      </c>
      <c r="D176" s="15" t="s">
        <v>112</v>
      </c>
      <c r="E176" s="15">
        <v>2.0</v>
      </c>
      <c r="F176" s="7">
        <f>IFERROR(__xludf.DUMMYFUNCTION("""COMPUTED_VALUE"""),101.58)</f>
        <v>101.58</v>
      </c>
      <c r="G176" s="7">
        <f>IFERROR(__xludf.DUMMYFUNCTION("""COMPUTED_VALUE"""),101.58)</f>
        <v>101.58</v>
      </c>
      <c r="H176" s="7">
        <f>IFERROR(__xludf.DUMMYFUNCTION("""COMPUTED_VALUE"""),101.58)</f>
        <v>101.58</v>
      </c>
      <c r="I176" s="7">
        <f>IFERROR(__xludf.DUMMYFUNCTION("""COMPUTED_VALUE"""),101.58)</f>
        <v>101.58</v>
      </c>
      <c r="J176" s="7">
        <f>IFERROR(__xludf.DUMMYFUNCTION("""COMPUTED_VALUE"""),101.58)</f>
        <v>101.58</v>
      </c>
      <c r="K176" s="7">
        <f>IFERROR(__xludf.DUMMYFUNCTION("""COMPUTED_VALUE"""),101.58)</f>
        <v>101.58</v>
      </c>
      <c r="L176" s="7">
        <f>IFERROR(__xludf.DUMMYFUNCTION("""COMPUTED_VALUE"""),101.58)</f>
        <v>101.58</v>
      </c>
    </row>
    <row r="177" ht="15.75" customHeight="1">
      <c r="A177" s="5" t="s">
        <v>38</v>
      </c>
      <c r="C177" s="5" t="s">
        <v>21</v>
      </c>
      <c r="D177" s="15" t="s">
        <v>113</v>
      </c>
      <c r="E177" s="15">
        <v>2.0</v>
      </c>
      <c r="F177" s="7">
        <f>IFERROR(__xludf.DUMMYFUNCTION("""COMPUTED_VALUE"""),100.0)</f>
        <v>100</v>
      </c>
      <c r="G177" s="7">
        <f>IFERROR(__xludf.DUMMYFUNCTION("""COMPUTED_VALUE"""),100.0)</f>
        <v>100</v>
      </c>
      <c r="H177" s="7">
        <f>IFERROR(__xludf.DUMMYFUNCTION("""COMPUTED_VALUE"""),100.0)</f>
        <v>100</v>
      </c>
      <c r="I177" s="7">
        <f>IFERROR(__xludf.DUMMYFUNCTION("""COMPUTED_VALUE"""),100.0)</f>
        <v>100</v>
      </c>
      <c r="J177" s="7">
        <f>IFERROR(__xludf.DUMMYFUNCTION("""COMPUTED_VALUE"""),100.0)</f>
        <v>100</v>
      </c>
      <c r="K177" s="7">
        <f>IFERROR(__xludf.DUMMYFUNCTION("""COMPUTED_VALUE"""),100.0)</f>
        <v>100</v>
      </c>
      <c r="L177" s="7">
        <f>IFERROR(__xludf.DUMMYFUNCTION("""COMPUTED_VALUE"""),100.0)</f>
        <v>100</v>
      </c>
    </row>
    <row r="178" ht="15.75" customHeight="1">
      <c r="A178" s="5" t="s">
        <v>38</v>
      </c>
      <c r="B178" s="15">
        <v>12.0</v>
      </c>
      <c r="C178" s="5" t="s">
        <v>48</v>
      </c>
      <c r="D178" s="8" t="s">
        <v>117</v>
      </c>
    </row>
    <row r="179" ht="15.75" customHeight="1">
      <c r="A179" s="5" t="s">
        <v>38</v>
      </c>
      <c r="C179" s="5" t="s">
        <v>21</v>
      </c>
      <c r="D179" s="15" t="s">
        <v>118</v>
      </c>
    </row>
    <row r="180" ht="15.75" customHeight="1">
      <c r="A180" s="5" t="s">
        <v>38</v>
      </c>
      <c r="C180" s="5" t="s">
        <v>21</v>
      </c>
      <c r="D180" s="15" t="s">
        <v>119</v>
      </c>
    </row>
    <row r="181" ht="15.75" customHeight="1">
      <c r="A181" s="5" t="s">
        <v>38</v>
      </c>
      <c r="C181" s="5" t="s">
        <v>21</v>
      </c>
      <c r="D181" s="15" t="s">
        <v>120</v>
      </c>
    </row>
    <row r="182" ht="15.75" customHeight="1">
      <c r="A182" s="5" t="s">
        <v>39</v>
      </c>
      <c r="B182" s="5">
        <v>1.0</v>
      </c>
      <c r="C182" s="5" t="s">
        <v>21</v>
      </c>
      <c r="D182" s="5" t="s">
        <v>23</v>
      </c>
      <c r="E182" s="5">
        <v>14.0</v>
      </c>
      <c r="F182" s="7">
        <f>IFERROR(__xludf.DUMMYFUNCTION("IMPORTRANGE(""1e7--NjE9N54w7uxIeTVQ2x149gW2CjGTf8gPedLtEqw"",""MDK!BV5:BV45"")"),67.0580580843763)</f>
        <v>67.05805808</v>
      </c>
      <c r="G182" s="7">
        <f>IFERROR(__xludf.DUMMYFUNCTION("IMPORTRANGE(""1e7--NjE9N54w7uxIeTVQ2x149gW2CjGTf8gPedLtEqw"",""MGT!BV5:BV45"")"),80.19126114885941)</f>
        <v>80.19126115</v>
      </c>
      <c r="H182" s="7">
        <f>IFERROR(__xludf.DUMMYFUNCTION("IMPORTRANGE(""1e7--NjE9N54w7uxIeTVQ2x149gW2CjGTf8gPedLtEqw"",""NGW!BV5:BV45"")"),94.13151871190969)</f>
        <v>94.13151871</v>
      </c>
      <c r="I182" s="7">
        <f>IFERROR(__xludf.DUMMYFUNCTION("IMPORTRANGE(""1e7--NjE9N54w7uxIeTVQ2x149gW2CjGTf8gPedLtEqw"",""MPT!BV5:BV45"")"),81.24042554720712)</f>
        <v>81.24042555</v>
      </c>
      <c r="J182" s="7">
        <f>IFERROR(__xludf.DUMMYFUNCTION("IMPORTRANGE(""1e7--NjE9N54w7uxIeTVQ2x149gW2CjGTf8gPedLtEqw"",""CRB!BV5:BV45"")"),91.60742048486242)</f>
        <v>91.60742048</v>
      </c>
      <c r="K182" s="7">
        <f>IFERROR(__xludf.DUMMYFUNCTION("IMPORTRANGE(""1e7--NjE9N54w7uxIeTVQ2x149gW2CjGTf8gPedLtEqw"",""DLP!BV5:BV45"")"),80.63384993815963)</f>
        <v>80.63384994</v>
      </c>
      <c r="L182" s="7">
        <f>IFERROR(__xludf.DUMMYFUNCTION("IMPORTRANGE(""1e7--NjE9N54w7uxIeTVQ2x149gW2CjGTf8gPedLtEqw"",""MTN!BV5:BV45"")"),82.9446561116517)</f>
        <v>82.94465611</v>
      </c>
    </row>
    <row r="183" ht="15.75" customHeight="1">
      <c r="A183" s="5" t="s">
        <v>39</v>
      </c>
      <c r="B183" s="5">
        <v>2.0</v>
      </c>
      <c r="C183" s="5" t="s">
        <v>21</v>
      </c>
      <c r="D183" s="5" t="s">
        <v>40</v>
      </c>
      <c r="E183" s="5">
        <v>12.0</v>
      </c>
      <c r="F183" s="7">
        <f>IFERROR(__xludf.DUMMYFUNCTION("""COMPUTED_VALUE"""),107.66734370024702)</f>
        <v>107.6673437</v>
      </c>
      <c r="G183" s="7">
        <f>IFERROR(__xludf.DUMMYFUNCTION("""COMPUTED_VALUE"""),94.22166677270003)</f>
        <v>94.22166677</v>
      </c>
      <c r="H183" s="7">
        <f>IFERROR(__xludf.DUMMYFUNCTION("""COMPUTED_VALUE"""),106.13010278843444)</f>
        <v>106.1301028</v>
      </c>
      <c r="I183" s="7">
        <f>IFERROR(__xludf.DUMMYFUNCTION("""COMPUTED_VALUE"""),107.58717578567536)</f>
        <v>107.5871758</v>
      </c>
      <c r="J183" s="7">
        <f>IFERROR(__xludf.DUMMYFUNCTION("""COMPUTED_VALUE"""),88.82505418857048)</f>
        <v>88.82505419</v>
      </c>
      <c r="K183" s="7">
        <f>IFERROR(__xludf.DUMMYFUNCTION("""COMPUTED_VALUE"""),93.94049234527581)</f>
        <v>93.94049235</v>
      </c>
      <c r="L183" s="7">
        <f>IFERROR(__xludf.DUMMYFUNCTION("""COMPUTED_VALUE"""),105.4109267073105)</f>
        <v>105.4109267</v>
      </c>
    </row>
    <row r="184" ht="15.75" customHeight="1">
      <c r="A184" s="5" t="s">
        <v>39</v>
      </c>
      <c r="B184" s="5">
        <v>3.0</v>
      </c>
      <c r="C184" s="5" t="s">
        <v>48</v>
      </c>
      <c r="D184" s="8" t="s">
        <v>49</v>
      </c>
      <c r="E184" s="5">
        <v>14.0</v>
      </c>
      <c r="F184" s="5"/>
      <c r="G184" s="5"/>
      <c r="H184" s="5"/>
      <c r="I184" s="5"/>
      <c r="J184" s="5"/>
      <c r="K184" s="5"/>
      <c r="L184" s="5"/>
    </row>
    <row r="185" ht="15.75" customHeight="1">
      <c r="A185" s="5" t="s">
        <v>39</v>
      </c>
      <c r="C185" s="5" t="s">
        <v>21</v>
      </c>
      <c r="D185" s="5" t="s">
        <v>51</v>
      </c>
      <c r="E185" s="5">
        <v>6.0</v>
      </c>
      <c r="F185" s="7">
        <f>IFERROR(__xludf.DUMMYFUNCTION("""COMPUTED_VALUE"""),100.68314397066251)</f>
        <v>100.683144</v>
      </c>
      <c r="G185" s="7">
        <f>IFERROR(__xludf.DUMMYFUNCTION("""COMPUTED_VALUE"""),100.54345200716513)</f>
        <v>100.543452</v>
      </c>
      <c r="H185" s="7">
        <f>IFERROR(__xludf.DUMMYFUNCTION("""COMPUTED_VALUE"""),100.69209681900352)</f>
        <v>100.6920968</v>
      </c>
      <c r="I185" s="7">
        <f>IFERROR(__xludf.DUMMYFUNCTION("""COMPUTED_VALUE"""),100.6197330394925)</f>
        <v>100.619733</v>
      </c>
      <c r="J185" s="7">
        <f>IFERROR(__xludf.DUMMYFUNCTION("""COMPUTED_VALUE"""),100.64561605480242)</f>
        <v>100.6456161</v>
      </c>
      <c r="K185" s="7">
        <f>IFERROR(__xludf.DUMMYFUNCTION("""COMPUTED_VALUE"""),100.66037844897306)</f>
        <v>100.6603784</v>
      </c>
      <c r="L185" s="7">
        <f>IFERROR(__xludf.DUMMYFUNCTION("""COMPUTED_VALUE"""),100.29551592968107)</f>
        <v>100.2955159</v>
      </c>
    </row>
    <row r="186" ht="15.75" customHeight="1">
      <c r="A186" s="5" t="s">
        <v>39</v>
      </c>
      <c r="C186" s="5" t="s">
        <v>21</v>
      </c>
      <c r="D186" s="5" t="s">
        <v>53</v>
      </c>
      <c r="E186" s="5">
        <v>6.0</v>
      </c>
      <c r="F186" s="7">
        <f>IFERROR(__xludf.DUMMYFUNCTION("""COMPUTED_VALUE"""),100.63173327020797)</f>
        <v>100.6317333</v>
      </c>
      <c r="G186" s="7">
        <f>IFERROR(__xludf.DUMMYFUNCTION("""COMPUTED_VALUE"""),100.55753455939005)</f>
        <v>100.5575346</v>
      </c>
      <c r="H186" s="7">
        <f>IFERROR(__xludf.DUMMYFUNCTION("""COMPUTED_VALUE"""),100.56460280658999)</f>
        <v>100.5646028</v>
      </c>
      <c r="I186" s="7">
        <f>IFERROR(__xludf.DUMMYFUNCTION("""COMPUTED_VALUE"""),100.6304010045131)</f>
        <v>100.630401</v>
      </c>
      <c r="J186" s="7">
        <f>IFERROR(__xludf.DUMMYFUNCTION("""COMPUTED_VALUE"""),100.57459256022969)</f>
        <v>100.5745926</v>
      </c>
      <c r="K186" s="7">
        <f>IFERROR(__xludf.DUMMYFUNCTION("""COMPUTED_VALUE"""),100.5114514462041)</f>
        <v>100.5114514</v>
      </c>
      <c r="L186" s="7">
        <f>IFERROR(__xludf.DUMMYFUNCTION("""COMPUTED_VALUE"""),100.64119772833115)</f>
        <v>100.6411977</v>
      </c>
    </row>
    <row r="187" ht="15.75" customHeight="1">
      <c r="A187" s="5" t="s">
        <v>39</v>
      </c>
      <c r="C187" s="5" t="s">
        <v>21</v>
      </c>
      <c r="D187" s="5" t="s">
        <v>55</v>
      </c>
      <c r="E187" s="5">
        <v>2.0</v>
      </c>
      <c r="F187" s="7">
        <f>IFERROR(__xludf.DUMMYFUNCTION("""COMPUTED_VALUE"""),100.3540564183949)</f>
        <v>100.3540564</v>
      </c>
      <c r="G187" s="7">
        <f>IFERROR(__xludf.DUMMYFUNCTION("""COMPUTED_VALUE"""),100.39346234063218)</f>
        <v>100.3934623</v>
      </c>
      <c r="H187" s="7">
        <f>IFERROR(__xludf.DUMMYFUNCTION("""COMPUTED_VALUE"""),100.84933609958921)</f>
        <v>100.8493361</v>
      </c>
      <c r="I187" s="7">
        <f>IFERROR(__xludf.DUMMYFUNCTION("""COMPUTED_VALUE"""),100.66689085062492)</f>
        <v>100.6668909</v>
      </c>
      <c r="J187" s="7">
        <f>IFERROR(__xludf.DUMMYFUNCTION("""COMPUTED_VALUE"""),101.30241024521409)</f>
        <v>101.3024102</v>
      </c>
      <c r="K187" s="7">
        <f>IFERROR(__xludf.DUMMYFUNCTION("""COMPUTED_VALUE"""),100.55920043140519)</f>
        <v>100.5592004</v>
      </c>
      <c r="L187" s="7">
        <f>IFERROR(__xludf.DUMMYFUNCTION("""COMPUTED_VALUE"""),100.29431567443848)</f>
        <v>100.2943157</v>
      </c>
    </row>
    <row r="188" ht="15.75" customHeight="1">
      <c r="A188" s="5" t="s">
        <v>39</v>
      </c>
      <c r="B188" s="5">
        <v>4.0</v>
      </c>
      <c r="C188" s="5" t="s">
        <v>48</v>
      </c>
      <c r="D188" s="8" t="s">
        <v>62</v>
      </c>
      <c r="E188" s="5">
        <v>10.0</v>
      </c>
      <c r="F188" s="5"/>
      <c r="G188" s="5"/>
      <c r="H188" s="5"/>
      <c r="I188" s="5"/>
      <c r="J188" s="5"/>
      <c r="K188" s="5"/>
      <c r="L188" s="5"/>
    </row>
    <row r="189" ht="15.75" customHeight="1">
      <c r="A189" s="5" t="s">
        <v>39</v>
      </c>
      <c r="C189" s="5" t="s">
        <v>21</v>
      </c>
      <c r="D189" s="5" t="s">
        <v>64</v>
      </c>
      <c r="E189" s="5">
        <v>5.0</v>
      </c>
      <c r="F189" s="7">
        <f>IFERROR(__xludf.DUMMYFUNCTION("""COMPUTED_VALUE"""),87.18678737260967)</f>
        <v>87.18678737</v>
      </c>
      <c r="G189" s="7">
        <f>IFERROR(__xludf.DUMMYFUNCTION("""COMPUTED_VALUE"""),110.00000000000001)</f>
        <v>110</v>
      </c>
      <c r="H189" s="7">
        <f>IFERROR(__xludf.DUMMYFUNCTION("""COMPUTED_VALUE"""),110.00000000000001)</f>
        <v>110</v>
      </c>
      <c r="I189" s="7">
        <f>IFERROR(__xludf.DUMMYFUNCTION("""COMPUTED_VALUE"""),73.33333333333333)</f>
        <v>73.33333333</v>
      </c>
      <c r="J189" s="7">
        <f>IFERROR(__xludf.DUMMYFUNCTION("""COMPUTED_VALUE"""),110.00000000000001)</f>
        <v>110</v>
      </c>
      <c r="K189" s="7">
        <f>IFERROR(__xludf.DUMMYFUNCTION("""COMPUTED_VALUE"""),110.00000000000001)</f>
        <v>110</v>
      </c>
      <c r="L189" s="7">
        <f>IFERROR(__xludf.DUMMYFUNCTION("""COMPUTED_VALUE"""),110.00000000000001)</f>
        <v>110</v>
      </c>
    </row>
    <row r="190" ht="15.75" customHeight="1">
      <c r="A190" s="5" t="s">
        <v>39</v>
      </c>
      <c r="C190" s="5" t="s">
        <v>21</v>
      </c>
      <c r="D190" s="5" t="s">
        <v>70</v>
      </c>
      <c r="F190" s="7">
        <f>IFERROR(__xludf.DUMMYFUNCTION("""COMPUTED_VALUE"""),41.560362117829015)</f>
        <v>41.56036212</v>
      </c>
      <c r="G190" s="7">
        <f>IFERROR(__xludf.DUMMYFUNCTION("""COMPUTED_VALUE"""),169.8812424907834)</f>
        <v>169.8812425</v>
      </c>
      <c r="H190" s="7">
        <f>IFERROR(__xludf.DUMMYFUNCTION("""COMPUTED_VALUE"""),211.2898877760069)</f>
        <v>211.2898878</v>
      </c>
      <c r="I190" s="7">
        <f>IFERROR(__xludf.DUMMYFUNCTION("""COMPUTED_VALUE"""),0.0)</f>
        <v>0</v>
      </c>
      <c r="J190" s="7">
        <f>IFERROR(__xludf.DUMMYFUNCTION("""COMPUTED_VALUE"""),212.815855458373)</f>
        <v>212.8158555</v>
      </c>
      <c r="K190" s="7">
        <f>IFERROR(__xludf.DUMMYFUNCTION("""COMPUTED_VALUE"""),393.4218644319071)</f>
        <v>393.4218644</v>
      </c>
      <c r="L190" s="7">
        <f>IFERROR(__xludf.DUMMYFUNCTION("""COMPUTED_VALUE"""),2153.3413696319785)</f>
        <v>2153.34137</v>
      </c>
    </row>
    <row r="191" ht="15.75" customHeight="1">
      <c r="A191" s="5" t="s">
        <v>39</v>
      </c>
      <c r="C191" s="5" t="s">
        <v>21</v>
      </c>
      <c r="D191" s="5" t="s">
        <v>73</v>
      </c>
      <c r="F191" s="7">
        <f>IFERROR(__xludf.DUMMYFUNCTION("""COMPUTED_VALUE"""),429.07631273804026)</f>
        <v>429.0763127</v>
      </c>
      <c r="G191" s="7">
        <f>IFERROR(__xludf.DUMMYFUNCTION("""COMPUTED_VALUE"""),309.29446323172857)</f>
        <v>309.2944632</v>
      </c>
      <c r="H191" s="7">
        <f>IFERROR(__xludf.DUMMYFUNCTION("""COMPUTED_VALUE"""),299.3037516278073)</f>
        <v>299.3037516</v>
      </c>
      <c r="I191" s="7">
        <f>IFERROR(__xludf.DUMMYFUNCTION("""COMPUTED_VALUE"""),417.2451094137056)</f>
        <v>417.2451094</v>
      </c>
      <c r="J191" s="7">
        <f>IFERROR(__xludf.DUMMYFUNCTION("""COMPUTED_VALUE"""),443.48665296639035)</f>
        <v>443.486653</v>
      </c>
      <c r="K191" s="7">
        <f>IFERROR(__xludf.DUMMYFUNCTION("""COMPUTED_VALUE"""),525.5363252523359)</f>
        <v>525.5363253</v>
      </c>
      <c r="L191" s="7">
        <f>IFERROR(__xludf.DUMMYFUNCTION("""COMPUTED_VALUE"""),363.71571615909295)</f>
        <v>363.7157162</v>
      </c>
    </row>
    <row r="192" ht="15.75" customHeight="1">
      <c r="A192" s="5" t="s">
        <v>39</v>
      </c>
      <c r="C192" s="5" t="s">
        <v>21</v>
      </c>
      <c r="D192" s="5" t="s">
        <v>74</v>
      </c>
      <c r="F192" s="7">
        <f>IFERROR(__xludf.DUMMYFUNCTION("""COMPUTED_VALUE"""),307.71017444963684)</f>
        <v>307.7101744</v>
      </c>
      <c r="G192" s="7">
        <f>IFERROR(__xludf.DUMMYFUNCTION("""COMPUTED_VALUE"""),482.80765194206606)</f>
        <v>482.8076519</v>
      </c>
      <c r="H192" s="7">
        <f>IFERROR(__xludf.DUMMYFUNCTION("""COMPUTED_VALUE"""),363.48287751719226)</f>
        <v>363.4828775</v>
      </c>
      <c r="I192" s="7">
        <f>IFERROR(__xludf.DUMMYFUNCTION("""COMPUTED_VALUE"""),1001.7675687867458)</f>
        <v>1001.767569</v>
      </c>
      <c r="J192" s="7">
        <f>IFERROR(__xludf.DUMMYFUNCTION("""COMPUTED_VALUE"""),559.3888950930203)</f>
        <v>559.3888951</v>
      </c>
      <c r="K192" s="7">
        <f>IFERROR(__xludf.DUMMYFUNCTION("""COMPUTED_VALUE"""),364.7545212955485)</f>
        <v>364.7545213</v>
      </c>
      <c r="L192" s="7">
        <f>IFERROR(__xludf.DUMMYFUNCTION("""COMPUTED_VALUE"""),778.2152275309619)</f>
        <v>778.2152275</v>
      </c>
    </row>
    <row r="193" ht="15.75" customHeight="1">
      <c r="A193" s="5" t="s">
        <v>39</v>
      </c>
      <c r="C193" s="5" t="s">
        <v>21</v>
      </c>
      <c r="D193" s="5" t="s">
        <v>75</v>
      </c>
      <c r="E193" s="5">
        <v>5.0</v>
      </c>
      <c r="F193" s="7">
        <f>IFERROR(__xludf.DUMMYFUNCTION("""COMPUTED_VALUE"""),100.0)</f>
        <v>100</v>
      </c>
      <c r="G193" s="7">
        <f>IFERROR(__xludf.DUMMYFUNCTION("""COMPUTED_VALUE"""),100.0)</f>
        <v>100</v>
      </c>
      <c r="H193" s="7">
        <f>IFERROR(__xludf.DUMMYFUNCTION("""COMPUTED_VALUE"""),100.0)</f>
        <v>100</v>
      </c>
      <c r="I193" s="7">
        <f>IFERROR(__xludf.DUMMYFUNCTION("""COMPUTED_VALUE"""),100.0)</f>
        <v>100</v>
      </c>
      <c r="J193" s="7">
        <f>IFERROR(__xludf.DUMMYFUNCTION("""COMPUTED_VALUE"""),100.0)</f>
        <v>100</v>
      </c>
      <c r="K193" s="7">
        <f>IFERROR(__xludf.DUMMYFUNCTION("""COMPUTED_VALUE"""),100.0)</f>
        <v>100</v>
      </c>
      <c r="L193" s="7">
        <f>IFERROR(__xludf.DUMMYFUNCTION("""COMPUTED_VALUE"""),100.0)</f>
        <v>100</v>
      </c>
    </row>
    <row r="194" ht="15.75" customHeight="1">
      <c r="A194" s="5" t="s">
        <v>39</v>
      </c>
      <c r="B194" s="5">
        <v>5.0</v>
      </c>
      <c r="C194" s="5" t="s">
        <v>48</v>
      </c>
      <c r="D194" s="8" t="s">
        <v>76</v>
      </c>
      <c r="E194" s="5">
        <v>10.0</v>
      </c>
      <c r="F194" s="5"/>
      <c r="G194" s="5"/>
      <c r="H194" s="5"/>
      <c r="I194" s="5"/>
      <c r="J194" s="5"/>
      <c r="K194" s="5"/>
      <c r="L194" s="5"/>
    </row>
    <row r="195" ht="15.75" customHeight="1">
      <c r="A195" s="5" t="s">
        <v>39</v>
      </c>
      <c r="C195" s="5" t="s">
        <v>21</v>
      </c>
      <c r="D195" s="5" t="s">
        <v>79</v>
      </c>
      <c r="E195" s="5">
        <v>0.5</v>
      </c>
      <c r="F195" s="7">
        <f>IFERROR(__xludf.DUMMYFUNCTION("""COMPUTED_VALUE"""),86.63419913419914)</f>
        <v>86.63419913</v>
      </c>
      <c r="G195" s="7">
        <f>IFERROR(__xludf.DUMMYFUNCTION("""COMPUTED_VALUE"""),95.16632016632016)</f>
        <v>95.16632017</v>
      </c>
      <c r="H195" s="7">
        <f>IFERROR(__xludf.DUMMYFUNCTION("""COMPUTED_VALUE"""),86.84759916492693)</f>
        <v>86.84759916</v>
      </c>
      <c r="I195" s="7">
        <f>IFERROR(__xludf.DUMMYFUNCTION("""COMPUTED_VALUE"""),106.46651270207852)</f>
        <v>106.4665127</v>
      </c>
      <c r="J195" s="7">
        <f>IFERROR(__xludf.DUMMYFUNCTION("""COMPUTED_VALUE"""),96.55400927766733)</f>
        <v>96.55400928</v>
      </c>
      <c r="K195" s="7">
        <f>IFERROR(__xludf.DUMMYFUNCTION("""COMPUTED_VALUE"""),91.5758896151053)</f>
        <v>91.57588962</v>
      </c>
      <c r="L195" s="7">
        <f>IFERROR(__xludf.DUMMYFUNCTION("""COMPUTED_VALUE"""),86.77007299270073)</f>
        <v>86.77007299</v>
      </c>
    </row>
    <row r="196" ht="15.75" customHeight="1">
      <c r="A196" s="5" t="s">
        <v>39</v>
      </c>
      <c r="C196" s="5" t="s">
        <v>21</v>
      </c>
      <c r="D196" s="5" t="s">
        <v>81</v>
      </c>
      <c r="E196" s="5">
        <v>1.5</v>
      </c>
      <c r="F196" s="7">
        <f>IFERROR(__xludf.DUMMYFUNCTION("""COMPUTED_VALUE"""),156.6078780217256)</f>
        <v>156.607878</v>
      </c>
      <c r="G196" s="7">
        <f>IFERROR(__xludf.DUMMYFUNCTION("""COMPUTED_VALUE"""),154.16505774254205)</f>
        <v>154.1650577</v>
      </c>
      <c r="H196" s="7">
        <f>IFERROR(__xludf.DUMMYFUNCTION("""COMPUTED_VALUE"""),166.46345226576855)</f>
        <v>166.4634523</v>
      </c>
      <c r="I196" s="7">
        <f>IFERROR(__xludf.DUMMYFUNCTION("""COMPUTED_VALUE"""),208.4281074485442)</f>
        <v>208.4281074</v>
      </c>
      <c r="J196" s="7">
        <f>IFERROR(__xludf.DUMMYFUNCTION("""COMPUTED_VALUE"""),161.05470224760745)</f>
        <v>161.0547022</v>
      </c>
      <c r="K196" s="7">
        <f>IFERROR(__xludf.DUMMYFUNCTION("""COMPUTED_VALUE"""),119.88954337968039)</f>
        <v>119.8895434</v>
      </c>
      <c r="L196" s="7">
        <f>IFERROR(__xludf.DUMMYFUNCTION("""COMPUTED_VALUE"""),183.45872165563014)</f>
        <v>183.4587217</v>
      </c>
    </row>
    <row r="197" ht="15.75" customHeight="1">
      <c r="A197" s="5" t="s">
        <v>39</v>
      </c>
      <c r="C197" s="5" t="s">
        <v>21</v>
      </c>
      <c r="D197" s="5" t="s">
        <v>82</v>
      </c>
      <c r="E197" s="5">
        <v>2.0</v>
      </c>
      <c r="F197" s="7">
        <f>IFERROR(__xludf.DUMMYFUNCTION("""COMPUTED_VALUE"""),80.65129497329309)</f>
        <v>80.65129497</v>
      </c>
      <c r="G197" s="7">
        <f>IFERROR(__xludf.DUMMYFUNCTION("""COMPUTED_VALUE"""),77.39911485706828)</f>
        <v>77.39911486</v>
      </c>
      <c r="H197" s="7">
        <f>IFERROR(__xludf.DUMMYFUNCTION("""COMPUTED_VALUE"""),93.18962344263709)</f>
        <v>93.18962344</v>
      </c>
      <c r="I197" s="7">
        <f>IFERROR(__xludf.DUMMYFUNCTION("""COMPUTED_VALUE"""),87.92528225382907)</f>
        <v>87.92528225</v>
      </c>
      <c r="J197" s="7">
        <f>IFERROR(__xludf.DUMMYFUNCTION("""COMPUTED_VALUE"""),81.02920955670831)</f>
        <v>81.02920956</v>
      </c>
      <c r="K197" s="7">
        <f>IFERROR(__xludf.DUMMYFUNCTION("""COMPUTED_VALUE"""),63.45695668550506)</f>
        <v>63.45695669</v>
      </c>
      <c r="L197" s="7">
        <f>IFERROR(__xludf.DUMMYFUNCTION("""COMPUTED_VALUE"""),70.66956459824671)</f>
        <v>70.6695646</v>
      </c>
    </row>
    <row r="198" ht="15.75" customHeight="1">
      <c r="A198" s="5" t="s">
        <v>39</v>
      </c>
      <c r="C198" s="5" t="s">
        <v>21</v>
      </c>
      <c r="D198" s="5" t="s">
        <v>83</v>
      </c>
      <c r="E198" s="5">
        <v>4.0</v>
      </c>
      <c r="F198" s="7">
        <f>IFERROR(__xludf.DUMMYFUNCTION("""COMPUTED_VALUE"""),100.0)</f>
        <v>100</v>
      </c>
      <c r="G198" s="7">
        <f>IFERROR(__xludf.DUMMYFUNCTION("""COMPUTED_VALUE"""),1150.0)</f>
        <v>1150</v>
      </c>
      <c r="H198" s="7">
        <f>IFERROR(__xludf.DUMMYFUNCTION("""COMPUTED_VALUE"""),100.0)</f>
        <v>100</v>
      </c>
      <c r="I198" s="7">
        <f>IFERROR(__xludf.DUMMYFUNCTION("""COMPUTED_VALUE"""),100.0)</f>
        <v>100</v>
      </c>
      <c r="J198" s="7">
        <f>IFERROR(__xludf.DUMMYFUNCTION("""COMPUTED_VALUE"""),250.0)</f>
        <v>250</v>
      </c>
      <c r="K198" s="7">
        <f>IFERROR(__xludf.DUMMYFUNCTION("""COMPUTED_VALUE"""),100.0)</f>
        <v>100</v>
      </c>
      <c r="L198" s="7">
        <f>IFERROR(__xludf.DUMMYFUNCTION("""COMPUTED_VALUE"""),400.0)</f>
        <v>400</v>
      </c>
    </row>
    <row r="199" ht="15.75" customHeight="1">
      <c r="A199" s="5" t="s">
        <v>39</v>
      </c>
      <c r="C199" s="5" t="s">
        <v>21</v>
      </c>
      <c r="D199" s="5" t="s">
        <v>84</v>
      </c>
      <c r="E199" s="5">
        <v>2.0</v>
      </c>
      <c r="F199" s="7">
        <f>IFERROR(__xludf.DUMMYFUNCTION("""COMPUTED_VALUE"""),100.0)</f>
        <v>100</v>
      </c>
      <c r="G199" s="7">
        <f>IFERROR(__xludf.DUMMYFUNCTION("""COMPUTED_VALUE"""),2076.8760992769207)</f>
        <v>2076.876099</v>
      </c>
      <c r="H199" s="7">
        <f>IFERROR(__xludf.DUMMYFUNCTION("""COMPUTED_VALUE"""),1051.2795458075898)</f>
        <v>1051.279546</v>
      </c>
      <c r="I199" s="7">
        <f>IFERROR(__xludf.DUMMYFUNCTION("""COMPUTED_VALUE"""),100.0)</f>
        <v>100</v>
      </c>
      <c r="J199" s="7">
        <f>IFERROR(__xludf.DUMMYFUNCTION("""COMPUTED_VALUE"""),980.3846404393602)</f>
        <v>980.3846404</v>
      </c>
      <c r="K199" s="7">
        <f>IFERROR(__xludf.DUMMYFUNCTION("""COMPUTED_VALUE"""),100.0)</f>
        <v>100</v>
      </c>
      <c r="L199" s="7">
        <f>IFERROR(__xludf.DUMMYFUNCTION("""COMPUTED_VALUE"""),239.92673992673997)</f>
        <v>239.9267399</v>
      </c>
    </row>
    <row r="200" ht="15.75" customHeight="1">
      <c r="A200" s="5" t="s">
        <v>39</v>
      </c>
      <c r="B200" s="5">
        <v>6.0</v>
      </c>
      <c r="C200" s="5" t="s">
        <v>48</v>
      </c>
      <c r="D200" s="8" t="s">
        <v>85</v>
      </c>
      <c r="E200" s="5">
        <v>8.0</v>
      </c>
      <c r="F200" s="5"/>
      <c r="G200" s="5"/>
      <c r="H200" s="5"/>
      <c r="I200" s="5"/>
      <c r="J200" s="5"/>
      <c r="K200" s="5"/>
      <c r="L200" s="5"/>
    </row>
    <row r="201" ht="15.75" customHeight="1">
      <c r="A201" s="5" t="s">
        <v>39</v>
      </c>
      <c r="C201" s="5" t="s">
        <v>21</v>
      </c>
      <c r="D201" s="5" t="s">
        <v>86</v>
      </c>
      <c r="E201" s="5">
        <v>2.0</v>
      </c>
      <c r="F201" s="7">
        <f>IFERROR(__xludf.DUMMYFUNCTION("""COMPUTED_VALUE"""),100.0)</f>
        <v>100</v>
      </c>
      <c r="G201" s="7">
        <f>IFERROR(__xludf.DUMMYFUNCTION("""COMPUTED_VALUE"""),100.0)</f>
        <v>100</v>
      </c>
      <c r="H201" s="7">
        <f>IFERROR(__xludf.DUMMYFUNCTION("""COMPUTED_VALUE"""),200.0)</f>
        <v>200</v>
      </c>
      <c r="I201" s="7">
        <f>IFERROR(__xludf.DUMMYFUNCTION("""COMPUTED_VALUE"""),100.0)</f>
        <v>100</v>
      </c>
      <c r="J201" s="7">
        <f>IFERROR(__xludf.DUMMYFUNCTION("""COMPUTED_VALUE"""),100.0)</f>
        <v>100</v>
      </c>
      <c r="K201" s="7">
        <f>IFERROR(__xludf.DUMMYFUNCTION("""COMPUTED_VALUE"""),100.0)</f>
        <v>100</v>
      </c>
      <c r="L201" s="7">
        <f>IFERROR(__xludf.DUMMYFUNCTION("""COMPUTED_VALUE"""),100.0)</f>
        <v>100</v>
      </c>
    </row>
    <row r="202" ht="15.75" customHeight="1">
      <c r="A202" s="5" t="s">
        <v>39</v>
      </c>
      <c r="C202" s="5" t="s">
        <v>21</v>
      </c>
      <c r="D202" s="5" t="s">
        <v>87</v>
      </c>
      <c r="E202" s="5">
        <v>2.0</v>
      </c>
      <c r="F202" s="7">
        <f>IFERROR(__xludf.DUMMYFUNCTION("""COMPUTED_VALUE"""),132.79999999999998)</f>
        <v>132.8</v>
      </c>
      <c r="G202" s="7">
        <f>IFERROR(__xludf.DUMMYFUNCTION("""COMPUTED_VALUE"""),137.03333333333333)</f>
        <v>137.0333333</v>
      </c>
      <c r="H202" s="7">
        <f>IFERROR(__xludf.DUMMYFUNCTION("""COMPUTED_VALUE"""),122.6)</f>
        <v>122.6</v>
      </c>
      <c r="I202" s="7">
        <f>IFERROR(__xludf.DUMMYFUNCTION("""COMPUTED_VALUE"""),131.2)</f>
        <v>131.2</v>
      </c>
      <c r="J202" s="7">
        <f>IFERROR(__xludf.DUMMYFUNCTION("""COMPUTED_VALUE"""),133.9)</f>
        <v>133.9</v>
      </c>
      <c r="K202" s="7">
        <f>IFERROR(__xludf.DUMMYFUNCTION("""COMPUTED_VALUE"""),132.36666666666665)</f>
        <v>132.3666667</v>
      </c>
      <c r="L202" s="7">
        <f>IFERROR(__xludf.DUMMYFUNCTION("""COMPUTED_VALUE"""),122.93333333333334)</f>
        <v>122.9333333</v>
      </c>
    </row>
    <row r="203" ht="15.75" customHeight="1">
      <c r="A203" s="5" t="s">
        <v>39</v>
      </c>
      <c r="C203" s="5" t="s">
        <v>21</v>
      </c>
      <c r="D203" s="5" t="s">
        <v>88</v>
      </c>
      <c r="E203" s="5">
        <v>2.0</v>
      </c>
      <c r="F203" s="7">
        <f>IFERROR(__xludf.DUMMYFUNCTION("""COMPUTED_VALUE"""),207.62165804828322)</f>
        <v>207.621658</v>
      </c>
      <c r="G203" s="7">
        <f>IFERROR(__xludf.DUMMYFUNCTION("""COMPUTED_VALUE"""),167.6132413703729)</f>
        <v>167.6132414</v>
      </c>
      <c r="H203" s="7">
        <f>IFERROR(__xludf.DUMMYFUNCTION("""COMPUTED_VALUE"""),180.49953243564977)</f>
        <v>180.4995324</v>
      </c>
      <c r="I203" s="7">
        <f>IFERROR(__xludf.DUMMYFUNCTION("""COMPUTED_VALUE"""),153.52805066523416)</f>
        <v>153.5280507</v>
      </c>
      <c r="J203" s="7">
        <f>IFERROR(__xludf.DUMMYFUNCTION("""COMPUTED_VALUE"""),127.96768676048073)</f>
        <v>127.9676868</v>
      </c>
      <c r="K203" s="7">
        <f>IFERROR(__xludf.DUMMYFUNCTION("""COMPUTED_VALUE"""),166.6521168305656)</f>
        <v>166.6521168</v>
      </c>
      <c r="L203" s="7">
        <f>IFERROR(__xludf.DUMMYFUNCTION("""COMPUTED_VALUE"""),120.78684289899861)</f>
        <v>120.7868429</v>
      </c>
    </row>
    <row r="204" ht="15.75" customHeight="1">
      <c r="A204" s="5" t="s">
        <v>39</v>
      </c>
      <c r="C204" s="5" t="s">
        <v>21</v>
      </c>
      <c r="D204" s="5" t="s">
        <v>89</v>
      </c>
      <c r="E204" s="5">
        <v>1.2</v>
      </c>
      <c r="F204" s="7">
        <f>IFERROR(__xludf.DUMMYFUNCTION("""COMPUTED_VALUE"""),163.50150286028247)</f>
        <v>163.5015029</v>
      </c>
      <c r="G204" s="7">
        <f>IFERROR(__xludf.DUMMYFUNCTION("""COMPUTED_VALUE"""),176.0590195145169)</f>
        <v>176.0590195</v>
      </c>
      <c r="H204" s="7">
        <f>IFERROR(__xludf.DUMMYFUNCTION("""COMPUTED_VALUE"""),216.11342410262176)</f>
        <v>216.1134241</v>
      </c>
      <c r="I204" s="7">
        <f>IFERROR(__xludf.DUMMYFUNCTION("""COMPUTED_VALUE"""),178.2660069418802)</f>
        <v>178.2660069</v>
      </c>
      <c r="J204" s="7">
        <f>IFERROR(__xludf.DUMMYFUNCTION("""COMPUTED_VALUE"""),189.50437317784258)</f>
        <v>189.5043732</v>
      </c>
      <c r="K204" s="7">
        <f>IFERROR(__xludf.DUMMYFUNCTION("""COMPUTED_VALUE"""),186.7349675481414)</f>
        <v>186.7349675</v>
      </c>
      <c r="L204" s="7">
        <f>IFERROR(__xludf.DUMMYFUNCTION("""COMPUTED_VALUE"""),153.76662926751084)</f>
        <v>153.7666293</v>
      </c>
    </row>
    <row r="205" ht="15.75" customHeight="1">
      <c r="A205" s="5" t="s">
        <v>39</v>
      </c>
      <c r="C205" s="5" t="s">
        <v>21</v>
      </c>
      <c r="D205" s="5" t="s">
        <v>92</v>
      </c>
      <c r="E205" s="5">
        <v>0.8</v>
      </c>
      <c r="F205" s="7">
        <f>IFERROR(__xludf.DUMMYFUNCTION("""COMPUTED_VALUE"""),97.33598482754117)</f>
        <v>97.33598483</v>
      </c>
      <c r="G205" s="7">
        <f>IFERROR(__xludf.DUMMYFUNCTION("""COMPUTED_VALUE"""),110.0)</f>
        <v>110</v>
      </c>
      <c r="H205" s="7">
        <f>IFERROR(__xludf.DUMMYFUNCTION("""COMPUTED_VALUE"""),109.35473041543314)</f>
        <v>109.3547304</v>
      </c>
      <c r="I205" s="7">
        <f>IFERROR(__xludf.DUMMYFUNCTION("""COMPUTED_VALUE"""),110.0)</f>
        <v>110</v>
      </c>
      <c r="J205" s="7">
        <f>IFERROR(__xludf.DUMMYFUNCTION("""COMPUTED_VALUE"""),110.0)</f>
        <v>110</v>
      </c>
      <c r="K205" s="7">
        <f>IFERROR(__xludf.DUMMYFUNCTION("""COMPUTED_VALUE"""),110.0)</f>
        <v>110</v>
      </c>
      <c r="L205" s="7">
        <f>IFERROR(__xludf.DUMMYFUNCTION("""COMPUTED_VALUE"""),110.0)</f>
        <v>110</v>
      </c>
    </row>
    <row r="206" ht="15.75" customHeight="1">
      <c r="A206" s="5" t="s">
        <v>39</v>
      </c>
      <c r="B206" s="5">
        <v>7.0</v>
      </c>
      <c r="C206" s="5" t="s">
        <v>48</v>
      </c>
      <c r="D206" s="8" t="s">
        <v>94</v>
      </c>
      <c r="E206" s="5">
        <v>7.0</v>
      </c>
      <c r="F206" s="5"/>
      <c r="G206" s="5"/>
      <c r="H206" s="5"/>
      <c r="I206" s="5"/>
      <c r="J206" s="5"/>
      <c r="K206" s="5"/>
      <c r="L206" s="5"/>
    </row>
    <row r="207" ht="15.75" customHeight="1">
      <c r="A207" s="5" t="s">
        <v>39</v>
      </c>
      <c r="C207" s="5" t="s">
        <v>21</v>
      </c>
      <c r="D207" s="5" t="s">
        <v>95</v>
      </c>
      <c r="E207" s="5">
        <v>5.0</v>
      </c>
      <c r="F207" s="7">
        <f>IFERROR(__xludf.DUMMYFUNCTION("""COMPUTED_VALUE"""),139.36170212765958)</f>
        <v>139.3617021</v>
      </c>
      <c r="G207" s="7">
        <f>IFERROR(__xludf.DUMMYFUNCTION("""COMPUTED_VALUE"""),139.23076923076923)</f>
        <v>139.2307692</v>
      </c>
      <c r="H207" s="7">
        <f>IFERROR(__xludf.DUMMYFUNCTION("""COMPUTED_VALUE"""),139.6887159533074)</f>
        <v>139.688716</v>
      </c>
      <c r="I207" s="7">
        <f>IFERROR(__xludf.DUMMYFUNCTION("""COMPUTED_VALUE"""),140.67796610169492)</f>
        <v>140.6779661</v>
      </c>
      <c r="J207" s="7">
        <f>IFERROR(__xludf.DUMMYFUNCTION("""COMPUTED_VALUE"""),140.0)</f>
        <v>140</v>
      </c>
      <c r="K207" s="7">
        <f>IFERROR(__xludf.DUMMYFUNCTION("""COMPUTED_VALUE"""),143.75)</f>
        <v>143.75</v>
      </c>
      <c r="L207" s="7">
        <f>IFERROR(__xludf.DUMMYFUNCTION("""COMPUTED_VALUE"""),140.4494382022472)</f>
        <v>140.4494382</v>
      </c>
    </row>
    <row r="208" ht="15.75" customHeight="1">
      <c r="A208" s="5" t="s">
        <v>39</v>
      </c>
      <c r="C208" s="5" t="s">
        <v>21</v>
      </c>
      <c r="D208" s="5" t="s">
        <v>96</v>
      </c>
      <c r="E208" s="5">
        <v>2.0</v>
      </c>
      <c r="F208" s="7">
        <f>IFERROR(__xludf.DUMMYFUNCTION("""COMPUTED_VALUE"""),100.0)</f>
        <v>100</v>
      </c>
      <c r="G208" s="7">
        <f>IFERROR(__xludf.DUMMYFUNCTION("""COMPUTED_VALUE"""),100.0)</f>
        <v>100</v>
      </c>
      <c r="H208" s="7">
        <f>IFERROR(__xludf.DUMMYFUNCTION("""COMPUTED_VALUE"""),120.0)</f>
        <v>120</v>
      </c>
      <c r="I208" s="7">
        <f>IFERROR(__xludf.DUMMYFUNCTION("""COMPUTED_VALUE"""),133.33333333333334)</f>
        <v>133.3333333</v>
      </c>
      <c r="J208" s="7">
        <f>IFERROR(__xludf.DUMMYFUNCTION("""COMPUTED_VALUE"""),133.33333333333334)</f>
        <v>133.3333333</v>
      </c>
      <c r="K208" s="7">
        <f>IFERROR(__xludf.DUMMYFUNCTION("""COMPUTED_VALUE"""),100.0)</f>
        <v>100</v>
      </c>
      <c r="L208" s="7">
        <f>IFERROR(__xludf.DUMMYFUNCTION("""COMPUTED_VALUE"""),100.0)</f>
        <v>100</v>
      </c>
    </row>
    <row r="209" ht="15.75" customHeight="1">
      <c r="A209" s="5" t="s">
        <v>39</v>
      </c>
      <c r="B209" s="5">
        <v>8.0</v>
      </c>
      <c r="C209" s="5" t="s">
        <v>48</v>
      </c>
      <c r="D209" s="8" t="s">
        <v>97</v>
      </c>
      <c r="E209" s="5">
        <v>8.0</v>
      </c>
      <c r="F209" s="5"/>
      <c r="G209" s="5"/>
      <c r="H209" s="5"/>
      <c r="I209" s="5"/>
      <c r="J209" s="5"/>
      <c r="K209" s="5"/>
      <c r="L209" s="5"/>
    </row>
    <row r="210" ht="15.75" customHeight="1">
      <c r="A210" s="5" t="s">
        <v>39</v>
      </c>
      <c r="C210" s="5" t="s">
        <v>21</v>
      </c>
      <c r="D210" s="5" t="s">
        <v>98</v>
      </c>
      <c r="E210" s="5">
        <v>6.0</v>
      </c>
      <c r="F210" s="7">
        <f>IFERROR(__xludf.DUMMYFUNCTION("""COMPUTED_VALUE"""),110.00000000000001)</f>
        <v>110</v>
      </c>
      <c r="G210" s="7">
        <f>IFERROR(__xludf.DUMMYFUNCTION("""COMPUTED_VALUE"""),110.00000000000001)</f>
        <v>110</v>
      </c>
      <c r="H210" s="7">
        <f>IFERROR(__xludf.DUMMYFUNCTION("""COMPUTED_VALUE"""),110.00000000000001)</f>
        <v>110</v>
      </c>
      <c r="I210" s="7">
        <f>IFERROR(__xludf.DUMMYFUNCTION("""COMPUTED_VALUE"""),110.00000000000001)</f>
        <v>110</v>
      </c>
      <c r="J210" s="7">
        <f>IFERROR(__xludf.DUMMYFUNCTION("""COMPUTED_VALUE"""),110.00000000000001)</f>
        <v>110</v>
      </c>
      <c r="K210" s="7">
        <f>IFERROR(__xludf.DUMMYFUNCTION("""COMPUTED_VALUE"""),110.00000000000001)</f>
        <v>110</v>
      </c>
      <c r="L210" s="7">
        <f>IFERROR(__xludf.DUMMYFUNCTION("""COMPUTED_VALUE"""),110.00000000000001)</f>
        <v>110</v>
      </c>
    </row>
    <row r="211" ht="15.75" customHeight="1">
      <c r="A211" s="5" t="s">
        <v>39</v>
      </c>
      <c r="C211" s="5" t="s">
        <v>21</v>
      </c>
      <c r="D211" s="5" t="s">
        <v>99</v>
      </c>
      <c r="E211" s="5">
        <v>2.0</v>
      </c>
      <c r="F211" s="7">
        <f>IFERROR(__xludf.DUMMYFUNCTION("""COMPUTED_VALUE"""),110.00000000000001)</f>
        <v>110</v>
      </c>
      <c r="G211" s="7">
        <f>IFERROR(__xludf.DUMMYFUNCTION("""COMPUTED_VALUE"""),110.00000000000001)</f>
        <v>110</v>
      </c>
      <c r="H211" s="7">
        <f>IFERROR(__xludf.DUMMYFUNCTION("""COMPUTED_VALUE"""),110.00000000000001)</f>
        <v>110</v>
      </c>
      <c r="I211" s="7">
        <f>IFERROR(__xludf.DUMMYFUNCTION("""COMPUTED_VALUE"""),110.00000000000001)</f>
        <v>110</v>
      </c>
      <c r="J211" s="7">
        <f>IFERROR(__xludf.DUMMYFUNCTION("""COMPUTED_VALUE"""),110.00000000000001)</f>
        <v>110</v>
      </c>
      <c r="K211" s="7">
        <f>IFERROR(__xludf.DUMMYFUNCTION("""COMPUTED_VALUE"""),110.00000000000001)</f>
        <v>110</v>
      </c>
      <c r="L211" s="7">
        <f>IFERROR(__xludf.DUMMYFUNCTION("""COMPUTED_VALUE"""),110.00000000000001)</f>
        <v>110</v>
      </c>
    </row>
    <row r="212" ht="15.75" customHeight="1">
      <c r="A212" s="5" t="s">
        <v>39</v>
      </c>
      <c r="B212" s="5">
        <v>9.0</v>
      </c>
      <c r="C212" s="5" t="s">
        <v>48</v>
      </c>
      <c r="D212" s="8" t="s">
        <v>101</v>
      </c>
      <c r="E212" s="5">
        <v>6.0</v>
      </c>
      <c r="F212" s="5"/>
      <c r="G212" s="5"/>
      <c r="H212" s="5"/>
      <c r="I212" s="5"/>
      <c r="J212" s="5"/>
      <c r="K212" s="5"/>
      <c r="L212" s="5"/>
    </row>
    <row r="213" ht="15.75" customHeight="1">
      <c r="A213" s="5" t="s">
        <v>39</v>
      </c>
      <c r="C213" s="5" t="s">
        <v>21</v>
      </c>
      <c r="D213" s="5" t="s">
        <v>102</v>
      </c>
      <c r="E213" s="5">
        <v>2.0</v>
      </c>
      <c r="F213" s="7">
        <f>IFERROR(__xludf.DUMMYFUNCTION("""COMPUTED_VALUE"""),713.6108400592009)</f>
        <v>713.6108401</v>
      </c>
      <c r="G213" s="7">
        <f>IFERROR(__xludf.DUMMYFUNCTION("""COMPUTED_VALUE"""),497.97142733103107)</f>
        <v>497.9714273</v>
      </c>
      <c r="H213" s="7">
        <f>IFERROR(__xludf.DUMMYFUNCTION("""COMPUTED_VALUE"""),153.51642714207682)</f>
        <v>153.5164271</v>
      </c>
      <c r="I213" s="7">
        <f>IFERROR(__xludf.DUMMYFUNCTION("""COMPUTED_VALUE"""),104.0433429766054)</f>
        <v>104.043343</v>
      </c>
      <c r="J213" s="7">
        <f>IFERROR(__xludf.DUMMYFUNCTION("""COMPUTED_VALUE"""),187.24110425690807)</f>
        <v>187.2411043</v>
      </c>
      <c r="K213" s="7">
        <f>IFERROR(__xludf.DUMMYFUNCTION("""COMPUTED_VALUE"""),109.0301432977102)</f>
        <v>109.0301433</v>
      </c>
      <c r="L213" s="7">
        <f>IFERROR(__xludf.DUMMYFUNCTION("""COMPUTED_VALUE"""),159.32121558954117)</f>
        <v>159.3212156</v>
      </c>
    </row>
    <row r="214" ht="15.75" customHeight="1">
      <c r="A214" s="5" t="s">
        <v>39</v>
      </c>
      <c r="C214" s="5" t="s">
        <v>21</v>
      </c>
      <c r="D214" s="5" t="s">
        <v>103</v>
      </c>
      <c r="E214" s="5">
        <v>2.0</v>
      </c>
      <c r="F214" s="7">
        <f>IFERROR(__xludf.DUMMYFUNCTION("""COMPUTED_VALUE"""),307.7368684139745)</f>
        <v>307.7368684</v>
      </c>
      <c r="G214" s="7">
        <f>IFERROR(__xludf.DUMMYFUNCTION("""COMPUTED_VALUE"""),343.77385290432306)</f>
        <v>343.7738529</v>
      </c>
      <c r="H214" s="7">
        <f>IFERROR(__xludf.DUMMYFUNCTION("""COMPUTED_VALUE"""),364.0451635959839)</f>
        <v>364.0451636</v>
      </c>
      <c r="I214" s="7">
        <f>IFERROR(__xludf.DUMMYFUNCTION("""COMPUTED_VALUE"""),511.48776977941435)</f>
        <v>511.4877698</v>
      </c>
      <c r="J214" s="7">
        <f>IFERROR(__xludf.DUMMYFUNCTION("""COMPUTED_VALUE"""),363.6963258457995)</f>
        <v>363.6963258</v>
      </c>
      <c r="K214" s="7">
        <f>IFERROR(__xludf.DUMMYFUNCTION("""COMPUTED_VALUE"""),627.3522491156774)</f>
        <v>627.3522491</v>
      </c>
      <c r="L214" s="7">
        <f>IFERROR(__xludf.DUMMYFUNCTION("""COMPUTED_VALUE"""),557.6688772857339)</f>
        <v>557.6688773</v>
      </c>
    </row>
    <row r="215" ht="15.75" customHeight="1">
      <c r="A215" s="5" t="s">
        <v>39</v>
      </c>
      <c r="C215" s="5" t="s">
        <v>21</v>
      </c>
      <c r="D215" s="5" t="s">
        <v>104</v>
      </c>
      <c r="E215" s="5">
        <v>2.0</v>
      </c>
      <c r="F215" s="7">
        <f>IFERROR(__xludf.DUMMYFUNCTION("""COMPUTED_VALUE"""),100.0)</f>
        <v>100</v>
      </c>
      <c r="G215" s="7">
        <f>IFERROR(__xludf.DUMMYFUNCTION("""COMPUTED_VALUE"""),100.0)</f>
        <v>100</v>
      </c>
      <c r="H215" s="7">
        <f>IFERROR(__xludf.DUMMYFUNCTION("""COMPUTED_VALUE"""),100.0)</f>
        <v>100</v>
      </c>
      <c r="I215" s="7">
        <f>IFERROR(__xludf.DUMMYFUNCTION("""COMPUTED_VALUE"""),100.0)</f>
        <v>100</v>
      </c>
      <c r="J215" s="7">
        <f>IFERROR(__xludf.DUMMYFUNCTION("""COMPUTED_VALUE"""),100.0)</f>
        <v>100</v>
      </c>
      <c r="K215" s="7">
        <f>IFERROR(__xludf.DUMMYFUNCTION("""COMPUTED_VALUE"""),100.0)</f>
        <v>100</v>
      </c>
      <c r="L215" s="7">
        <f>IFERROR(__xludf.DUMMYFUNCTION("""COMPUTED_VALUE"""),100.0)</f>
        <v>100</v>
      </c>
    </row>
    <row r="216" ht="15.75" customHeight="1">
      <c r="A216" s="5" t="s">
        <v>39</v>
      </c>
      <c r="B216" s="5">
        <v>10.0</v>
      </c>
      <c r="C216" s="5" t="s">
        <v>48</v>
      </c>
      <c r="D216" s="8" t="s">
        <v>107</v>
      </c>
      <c r="E216" s="5">
        <v>7.0</v>
      </c>
      <c r="F216" s="5"/>
      <c r="G216" s="5"/>
      <c r="H216" s="5"/>
      <c r="I216" s="5"/>
      <c r="J216" s="5"/>
      <c r="K216" s="5"/>
      <c r="L216" s="5"/>
    </row>
    <row r="217" ht="15.75" customHeight="1">
      <c r="A217" s="5" t="s">
        <v>39</v>
      </c>
      <c r="C217" s="5" t="s">
        <v>21</v>
      </c>
      <c r="D217" s="5" t="s">
        <v>108</v>
      </c>
      <c r="E217" s="5">
        <v>3.0</v>
      </c>
      <c r="F217" s="7">
        <f>IFERROR(__xludf.DUMMYFUNCTION("""COMPUTED_VALUE"""),55.410093038654615)</f>
        <v>55.41009304</v>
      </c>
      <c r="G217" s="7">
        <f>IFERROR(__xludf.DUMMYFUNCTION("""COMPUTED_VALUE"""),61.283807600339145)</f>
        <v>61.2838076</v>
      </c>
      <c r="H217" s="7">
        <f>IFERROR(__xludf.DUMMYFUNCTION("""COMPUTED_VALUE"""),103.9749194273089)</f>
        <v>103.9749194</v>
      </c>
      <c r="I217" s="7">
        <f>IFERROR(__xludf.DUMMYFUNCTION("""COMPUTED_VALUE"""),58.340511123944125)</f>
        <v>58.34051112</v>
      </c>
      <c r="J217" s="7">
        <f>IFERROR(__xludf.DUMMYFUNCTION("""COMPUTED_VALUE"""),143.01186526857748)</f>
        <v>143.0118653</v>
      </c>
      <c r="K217" s="7">
        <f>IFERROR(__xludf.DUMMYFUNCTION("""COMPUTED_VALUE"""),41.39093123949571)</f>
        <v>41.39093124</v>
      </c>
      <c r="L217" s="7">
        <f>IFERROR(__xludf.DUMMYFUNCTION("""COMPUTED_VALUE"""),113.7508846118779)</f>
        <v>113.7508846</v>
      </c>
    </row>
    <row r="218" ht="15.75" customHeight="1">
      <c r="A218" s="5" t="s">
        <v>39</v>
      </c>
      <c r="C218" s="5" t="s">
        <v>21</v>
      </c>
      <c r="D218" s="5" t="s">
        <v>109</v>
      </c>
      <c r="E218" s="5">
        <v>2.0</v>
      </c>
      <c r="F218" s="7">
        <f>IFERROR(__xludf.DUMMYFUNCTION("""COMPUTED_VALUE"""),127.05882352941175)</f>
        <v>127.0588235</v>
      </c>
      <c r="G218" s="7">
        <f>IFERROR(__xludf.DUMMYFUNCTION("""COMPUTED_VALUE"""),119.25722145804676)</f>
        <v>119.2572215</v>
      </c>
      <c r="H218" s="7">
        <f>IFERROR(__xludf.DUMMYFUNCTION("""COMPUTED_VALUE"""),189.08730158730157)</f>
        <v>189.0873016</v>
      </c>
      <c r="I218" s="7">
        <f>IFERROR(__xludf.DUMMYFUNCTION("""COMPUTED_VALUE"""),167.38703339882122)</f>
        <v>167.3870334</v>
      </c>
      <c r="J218" s="7">
        <f>IFERROR(__xludf.DUMMYFUNCTION("""COMPUTED_VALUE"""),127.87096774193549)</f>
        <v>127.8709677</v>
      </c>
      <c r="K218" s="7">
        <f>IFERROR(__xludf.DUMMYFUNCTION("""COMPUTED_VALUE"""),152.07006369426753)</f>
        <v>152.0700637</v>
      </c>
      <c r="L218" s="7">
        <f>IFERROR(__xludf.DUMMYFUNCTION("""COMPUTED_VALUE"""),133.1701346389229)</f>
        <v>133.1701346</v>
      </c>
    </row>
    <row r="219" ht="15.75" customHeight="1">
      <c r="A219" s="5" t="s">
        <v>39</v>
      </c>
      <c r="C219" s="5" t="s">
        <v>21</v>
      </c>
      <c r="D219" s="5" t="s">
        <v>110</v>
      </c>
      <c r="E219" s="5">
        <v>2.0</v>
      </c>
      <c r="F219" s="7">
        <f>IFERROR(__xludf.DUMMYFUNCTION("""COMPUTED_VALUE"""),100.0)</f>
        <v>100</v>
      </c>
      <c r="G219" s="7">
        <f>IFERROR(__xludf.DUMMYFUNCTION("""COMPUTED_VALUE"""),100.0)</f>
        <v>100</v>
      </c>
      <c r="H219" s="7">
        <f>IFERROR(__xludf.DUMMYFUNCTION("""COMPUTED_VALUE"""),100.0)</f>
        <v>100</v>
      </c>
      <c r="I219" s="7">
        <f>IFERROR(__xludf.DUMMYFUNCTION("""COMPUTED_VALUE"""),100.0)</f>
        <v>100</v>
      </c>
      <c r="J219" s="7">
        <f>IFERROR(__xludf.DUMMYFUNCTION("""COMPUTED_VALUE"""),100.0)</f>
        <v>100</v>
      </c>
      <c r="K219" s="7">
        <f>IFERROR(__xludf.DUMMYFUNCTION("""COMPUTED_VALUE"""),100.0)</f>
        <v>100</v>
      </c>
      <c r="L219" s="7">
        <f>IFERROR(__xludf.DUMMYFUNCTION("""COMPUTED_VALUE"""),100.0)</f>
        <v>100</v>
      </c>
    </row>
    <row r="220" ht="15.75" customHeight="1">
      <c r="A220" s="5" t="s">
        <v>39</v>
      </c>
      <c r="B220" s="15">
        <v>11.0</v>
      </c>
      <c r="C220" s="5" t="s">
        <v>48</v>
      </c>
      <c r="D220" s="8" t="s">
        <v>111</v>
      </c>
      <c r="E220" s="15">
        <v>4.0</v>
      </c>
      <c r="F220" s="5"/>
      <c r="G220" s="5"/>
      <c r="H220" s="5"/>
      <c r="I220" s="5"/>
      <c r="J220" s="5"/>
      <c r="K220" s="5"/>
      <c r="L220" s="5"/>
    </row>
    <row r="221" ht="15.75" customHeight="1">
      <c r="A221" s="5" t="s">
        <v>39</v>
      </c>
      <c r="C221" s="5" t="b">
        <v>0</v>
      </c>
      <c r="D221" s="15" t="s">
        <v>112</v>
      </c>
      <c r="E221" s="15">
        <v>2.0</v>
      </c>
      <c r="F221" s="7">
        <f>IFERROR(__xludf.DUMMYFUNCTION("""COMPUTED_VALUE"""),98.43)</f>
        <v>98.43</v>
      </c>
      <c r="G221" s="7">
        <f>IFERROR(__xludf.DUMMYFUNCTION("""COMPUTED_VALUE"""),98.43)</f>
        <v>98.43</v>
      </c>
      <c r="H221" s="7">
        <f>IFERROR(__xludf.DUMMYFUNCTION("""COMPUTED_VALUE"""),98.43)</f>
        <v>98.43</v>
      </c>
      <c r="I221" s="7">
        <f>IFERROR(__xludf.DUMMYFUNCTION("""COMPUTED_VALUE"""),98.43)</f>
        <v>98.43</v>
      </c>
      <c r="J221" s="7">
        <f>IFERROR(__xludf.DUMMYFUNCTION("""COMPUTED_VALUE"""),98.43)</f>
        <v>98.43</v>
      </c>
      <c r="K221" s="7">
        <f>IFERROR(__xludf.DUMMYFUNCTION("""COMPUTED_VALUE"""),98.43)</f>
        <v>98.43</v>
      </c>
      <c r="L221" s="7">
        <f>IFERROR(__xludf.DUMMYFUNCTION("""COMPUTED_VALUE"""),98.43)</f>
        <v>98.43</v>
      </c>
    </row>
    <row r="222" ht="15.75" customHeight="1">
      <c r="A222" s="5" t="s">
        <v>39</v>
      </c>
      <c r="C222" s="5" t="s">
        <v>21</v>
      </c>
      <c r="D222" s="15" t="s">
        <v>113</v>
      </c>
      <c r="E222" s="15">
        <v>2.0</v>
      </c>
      <c r="F222" s="7">
        <f>IFERROR(__xludf.DUMMYFUNCTION("""COMPUTED_VALUE"""),100.0)</f>
        <v>100</v>
      </c>
      <c r="G222" s="7">
        <f>IFERROR(__xludf.DUMMYFUNCTION("""COMPUTED_VALUE"""),100.0)</f>
        <v>100</v>
      </c>
      <c r="H222" s="7">
        <f>IFERROR(__xludf.DUMMYFUNCTION("""COMPUTED_VALUE"""),100.0)</f>
        <v>100</v>
      </c>
      <c r="I222" s="7">
        <f>IFERROR(__xludf.DUMMYFUNCTION("""COMPUTED_VALUE"""),100.0)</f>
        <v>100</v>
      </c>
      <c r="J222" s="7">
        <f>IFERROR(__xludf.DUMMYFUNCTION("""COMPUTED_VALUE"""),100.0)</f>
        <v>100</v>
      </c>
      <c r="K222" s="7">
        <f>IFERROR(__xludf.DUMMYFUNCTION("""COMPUTED_VALUE"""),100.0)</f>
        <v>100</v>
      </c>
      <c r="L222" s="7">
        <f>IFERROR(__xludf.DUMMYFUNCTION("""COMPUTED_VALUE"""),100.0)</f>
        <v>100</v>
      </c>
    </row>
    <row r="223" ht="15.75" customHeight="1">
      <c r="A223" s="5" t="s">
        <v>39</v>
      </c>
      <c r="B223" s="15">
        <v>12.0</v>
      </c>
      <c r="C223" s="5" t="s">
        <v>48</v>
      </c>
      <c r="D223" s="8" t="s">
        <v>117</v>
      </c>
    </row>
    <row r="224" ht="15.75" customHeight="1">
      <c r="A224" s="5" t="s">
        <v>39</v>
      </c>
      <c r="C224" s="5" t="s">
        <v>21</v>
      </c>
      <c r="D224" s="15" t="s">
        <v>118</v>
      </c>
    </row>
    <row r="225" ht="15.75" customHeight="1">
      <c r="A225" s="5" t="s">
        <v>39</v>
      </c>
      <c r="C225" s="5" t="s">
        <v>21</v>
      </c>
      <c r="D225" s="15" t="s">
        <v>119</v>
      </c>
    </row>
    <row r="226" ht="15.75" customHeight="1">
      <c r="A226" s="5" t="s">
        <v>39</v>
      </c>
      <c r="C226" s="5" t="s">
        <v>21</v>
      </c>
      <c r="D226" s="15" t="s">
        <v>120</v>
      </c>
    </row>
    <row r="227" ht="15.75" customHeight="1">
      <c r="A227" s="5" t="s">
        <v>41</v>
      </c>
      <c r="B227" s="5">
        <v>1.0</v>
      </c>
      <c r="C227" s="5" t="s">
        <v>21</v>
      </c>
      <c r="D227" s="5" t="s">
        <v>23</v>
      </c>
      <c r="E227" s="5">
        <v>14.0</v>
      </c>
      <c r="F227" s="7">
        <f>IFERROR(__xludf.DUMMYFUNCTION("IMPORTRANGE(""1e7--NjE9N54w7uxIeTVQ2x149gW2CjGTf8gPedLtEqw"",""MDK!BW5:BW45"")"),70.54635757865391)</f>
        <v>70.54635758</v>
      </c>
      <c r="G227" s="7">
        <f>IFERROR(__xludf.DUMMYFUNCTION("IMPORTRANGE(""1e7--NjE9N54w7uxIeTVQ2x149gW2CjGTf8gPedLtEqw"",""MGT!BW5:BW45"")"),86.14867250479199)</f>
        <v>86.1486725</v>
      </c>
      <c r="H227" s="7">
        <f>IFERROR(__xludf.DUMMYFUNCTION("IMPORTRANGE(""1e7--NjE9N54w7uxIeTVQ2x149gW2CjGTf8gPedLtEqw"",""NGW!BW5:BW45"")"),110.00000000000001)</f>
        <v>110</v>
      </c>
      <c r="I227" s="7">
        <f>IFERROR(__xludf.DUMMYFUNCTION("IMPORTRANGE(""1e7--NjE9N54w7uxIeTVQ2x149gW2CjGTf8gPedLtEqw"",""MPT!BW5:BW45"")"),93.73659969024793)</f>
        <v>93.73659969</v>
      </c>
      <c r="J227" s="7">
        <f>IFERROR(__xludf.DUMMYFUNCTION("IMPORTRANGE(""1e7--NjE9N54w7uxIeTVQ2x149gW2CjGTf8gPedLtEqw"",""CRB!BW5:BW45"")"),106.11374732231707)</f>
        <v>106.1137473</v>
      </c>
      <c r="K227" s="7">
        <f>IFERROR(__xludf.DUMMYFUNCTION("IMPORTRANGE(""1e7--NjE9N54w7uxIeTVQ2x149gW2CjGTf8gPedLtEqw"",""DLP!BW5:BW45"")"),85.88263334804866)</f>
        <v>85.88263335</v>
      </c>
      <c r="L227" s="7">
        <f>IFERROR(__xludf.DUMMYFUNCTION("IMPORTRANGE(""1e7--NjE9N54w7uxIeTVQ2x149gW2CjGTf8gPedLtEqw"",""MTN!BW5:BW45"")"),91.36653380543606)</f>
        <v>91.36653381</v>
      </c>
    </row>
    <row r="228" ht="15.75" customHeight="1">
      <c r="A228" s="5" t="s">
        <v>41</v>
      </c>
      <c r="B228" s="5">
        <v>2.0</v>
      </c>
      <c r="C228" s="5" t="s">
        <v>21</v>
      </c>
      <c r="D228" s="5" t="s">
        <v>40</v>
      </c>
      <c r="E228" s="5">
        <v>12.0</v>
      </c>
      <c r="F228" s="7">
        <f>IFERROR(__xludf.DUMMYFUNCTION("""COMPUTED_VALUE"""),110.51215189291716)</f>
        <v>110.5121519</v>
      </c>
      <c r="G228" s="7">
        <f>IFERROR(__xludf.DUMMYFUNCTION("""COMPUTED_VALUE"""),96.8587498474611)</f>
        <v>96.85874985</v>
      </c>
      <c r="H228" s="7">
        <f>IFERROR(__xludf.DUMMYFUNCTION("""COMPUTED_VALUE"""),105.50291464254266)</f>
        <v>105.5029146</v>
      </c>
      <c r="I228" s="7">
        <f>IFERROR(__xludf.DUMMYFUNCTION("""COMPUTED_VALUE"""),103.20757347701044)</f>
        <v>103.2075735</v>
      </c>
      <c r="J228" s="7">
        <f>IFERROR(__xludf.DUMMYFUNCTION("""COMPUTED_VALUE"""),94.56880749965752)</f>
        <v>94.5688075</v>
      </c>
      <c r="K228" s="7">
        <f>IFERROR(__xludf.DUMMYFUNCTION("""COMPUTED_VALUE"""),100.61059642892714)</f>
        <v>100.6105964</v>
      </c>
      <c r="L228" s="7">
        <f>IFERROR(__xludf.DUMMYFUNCTION("""COMPUTED_VALUE"""),108.05231118134549)</f>
        <v>108.0523112</v>
      </c>
    </row>
    <row r="229" ht="15.75" customHeight="1">
      <c r="A229" s="5" t="s">
        <v>41</v>
      </c>
      <c r="B229" s="5">
        <v>3.0</v>
      </c>
      <c r="C229" s="5" t="s">
        <v>48</v>
      </c>
      <c r="D229" s="8" t="s">
        <v>49</v>
      </c>
      <c r="E229" s="5">
        <v>14.0</v>
      </c>
      <c r="F229" s="5"/>
      <c r="G229" s="5"/>
      <c r="H229" s="5"/>
      <c r="I229" s="5"/>
      <c r="J229" s="5"/>
      <c r="K229" s="5"/>
      <c r="L229" s="5"/>
    </row>
    <row r="230" ht="15.75" customHeight="1">
      <c r="A230" s="5" t="s">
        <v>41</v>
      </c>
      <c r="C230" s="5" t="s">
        <v>21</v>
      </c>
      <c r="D230" s="5" t="s">
        <v>51</v>
      </c>
      <c r="E230" s="5">
        <v>6.0</v>
      </c>
      <c r="F230" s="7">
        <f>IFERROR(__xludf.DUMMYFUNCTION("""COMPUTED_VALUE"""),111.34372239955322)</f>
        <v>111.3437224</v>
      </c>
      <c r="G230" s="7">
        <f>IFERROR(__xludf.DUMMYFUNCTION("""COMPUTED_VALUE"""),110.76879956343669)</f>
        <v>110.7687996</v>
      </c>
      <c r="H230" s="7">
        <f>IFERROR(__xludf.DUMMYFUNCTION("""COMPUTED_VALUE"""),111.68747251516824)</f>
        <v>111.6874725</v>
      </c>
      <c r="I230" s="7">
        <f>IFERROR(__xludf.DUMMYFUNCTION("""COMPUTED_VALUE"""),112.02619432359147)</f>
        <v>112.0261943</v>
      </c>
      <c r="J230" s="7">
        <f>IFERROR(__xludf.DUMMYFUNCTION("""COMPUTED_VALUE"""),113.06354688907261)</f>
        <v>113.0635469</v>
      </c>
      <c r="K230" s="7">
        <f>IFERROR(__xludf.DUMMYFUNCTION("""COMPUTED_VALUE"""),112.09931027763665)</f>
        <v>112.0993103</v>
      </c>
      <c r="L230" s="7">
        <f>IFERROR(__xludf.DUMMYFUNCTION("""COMPUTED_VALUE"""),111.93753323460275)</f>
        <v>111.9375332</v>
      </c>
    </row>
    <row r="231" ht="15.75" customHeight="1">
      <c r="A231" s="5" t="s">
        <v>41</v>
      </c>
      <c r="C231" s="5" t="s">
        <v>21</v>
      </c>
      <c r="D231" s="5" t="s">
        <v>53</v>
      </c>
      <c r="E231" s="5">
        <v>6.0</v>
      </c>
      <c r="F231" s="7">
        <f>IFERROR(__xludf.DUMMYFUNCTION("""COMPUTED_VALUE"""),111.40434096695304)</f>
        <v>111.404341</v>
      </c>
      <c r="G231" s="7">
        <f>IFERROR(__xludf.DUMMYFUNCTION("""COMPUTED_VALUE"""),112.42223361375795)</f>
        <v>112.4222336</v>
      </c>
      <c r="H231" s="7">
        <f>IFERROR(__xludf.DUMMYFUNCTION("""COMPUTED_VALUE"""),111.1495701327468)</f>
        <v>111.1495701</v>
      </c>
      <c r="I231" s="7">
        <f>IFERROR(__xludf.DUMMYFUNCTION("""COMPUTED_VALUE"""),112.37932104641206)</f>
        <v>112.379321</v>
      </c>
      <c r="J231" s="7">
        <f>IFERROR(__xludf.DUMMYFUNCTION("""COMPUTED_VALUE"""),112.06555875239572)</f>
        <v>112.0655588</v>
      </c>
      <c r="K231" s="7">
        <f>IFERROR(__xludf.DUMMYFUNCTION("""COMPUTED_VALUE"""),111.83218515384294)</f>
        <v>111.8321852</v>
      </c>
      <c r="L231" s="7">
        <f>IFERROR(__xludf.DUMMYFUNCTION("""COMPUTED_VALUE"""),112.29825105310391)</f>
        <v>112.2982511</v>
      </c>
    </row>
    <row r="232" ht="15.75" customHeight="1">
      <c r="A232" s="5" t="s">
        <v>41</v>
      </c>
      <c r="C232" s="5" t="s">
        <v>21</v>
      </c>
      <c r="D232" s="5" t="s">
        <v>55</v>
      </c>
      <c r="E232" s="5">
        <v>2.0</v>
      </c>
      <c r="F232" s="7">
        <f>IFERROR(__xludf.DUMMYFUNCTION("""COMPUTED_VALUE"""),112.7782016769042)</f>
        <v>112.7782017</v>
      </c>
      <c r="G232" s="7">
        <f>IFERROR(__xludf.DUMMYFUNCTION("""COMPUTED_VALUE"""),111.73974826408197)</f>
        <v>111.7397483</v>
      </c>
      <c r="H232" s="7">
        <f>IFERROR(__xludf.DUMMYFUNCTION("""COMPUTED_VALUE"""),113.70580135004613)</f>
        <v>113.7058014</v>
      </c>
      <c r="I232" s="7">
        <f>IFERROR(__xludf.DUMMYFUNCTION("""COMPUTED_VALUE"""),112.62524502532578)</f>
        <v>112.625245</v>
      </c>
      <c r="J232" s="7">
        <f>IFERROR(__xludf.DUMMYFUNCTION("""COMPUTED_VALUE"""),114.08905828532116)</f>
        <v>114.0890583</v>
      </c>
      <c r="K232" s="7">
        <f>IFERROR(__xludf.DUMMYFUNCTION("""COMPUTED_VALUE"""),111.9508848126626)</f>
        <v>111.9508848</v>
      </c>
      <c r="L232" s="7">
        <f>IFERROR(__xludf.DUMMYFUNCTION("""COMPUTED_VALUE"""),112.36213092994379)</f>
        <v>112.3621309</v>
      </c>
    </row>
    <row r="233" ht="15.75" customHeight="1">
      <c r="A233" s="5" t="s">
        <v>41</v>
      </c>
      <c r="B233" s="5">
        <v>4.0</v>
      </c>
      <c r="C233" s="5" t="s">
        <v>48</v>
      </c>
      <c r="D233" s="8" t="s">
        <v>62</v>
      </c>
      <c r="E233" s="5">
        <v>10.0</v>
      </c>
      <c r="F233" s="5"/>
      <c r="G233" s="5"/>
      <c r="H233" s="5"/>
      <c r="I233" s="5"/>
      <c r="J233" s="5"/>
      <c r="K233" s="5"/>
      <c r="L233" s="5"/>
    </row>
    <row r="234" ht="15.75" customHeight="1">
      <c r="A234" s="5" t="s">
        <v>41</v>
      </c>
      <c r="C234" s="5" t="s">
        <v>21</v>
      </c>
      <c r="D234" s="5" t="s">
        <v>64</v>
      </c>
      <c r="E234" s="5">
        <v>5.0</v>
      </c>
      <c r="F234" s="7">
        <f>IFERROR(__xludf.DUMMYFUNCTION("""COMPUTED_VALUE"""),110.00000000000001)</f>
        <v>110</v>
      </c>
      <c r="G234" s="7">
        <f>IFERROR(__xludf.DUMMYFUNCTION("""COMPUTED_VALUE"""),104.75327206460172)</f>
        <v>104.7532721</v>
      </c>
      <c r="H234" s="7">
        <f>IFERROR(__xludf.DUMMYFUNCTION("""COMPUTED_VALUE"""),110.00000000000001)</f>
        <v>110</v>
      </c>
      <c r="I234" s="7">
        <f>IFERROR(__xludf.DUMMYFUNCTION("""COMPUTED_VALUE"""),84.06902063672456)</f>
        <v>84.06902064</v>
      </c>
      <c r="J234" s="7">
        <f>IFERROR(__xludf.DUMMYFUNCTION("""COMPUTED_VALUE"""),94.5993564776079)</f>
        <v>94.59935648</v>
      </c>
      <c r="K234" s="7">
        <f>IFERROR(__xludf.DUMMYFUNCTION("""COMPUTED_VALUE"""),110.00000000000001)</f>
        <v>110</v>
      </c>
      <c r="L234" s="7">
        <f>IFERROR(__xludf.DUMMYFUNCTION("""COMPUTED_VALUE"""),110.00000000000001)</f>
        <v>110</v>
      </c>
    </row>
    <row r="235" ht="15.75" customHeight="1">
      <c r="A235" s="5" t="s">
        <v>41</v>
      </c>
      <c r="C235" s="5" t="s">
        <v>21</v>
      </c>
      <c r="D235" s="5" t="s">
        <v>70</v>
      </c>
      <c r="F235" s="7">
        <f>IFERROR(__xludf.DUMMYFUNCTION("""COMPUTED_VALUE"""),239.42621347753078)</f>
        <v>239.4262135</v>
      </c>
      <c r="G235" s="7">
        <f>IFERROR(__xludf.DUMMYFUNCTION("""COMPUTED_VALUE"""),94.25981619380515)</f>
        <v>94.25981619</v>
      </c>
      <c r="H235" s="7">
        <f>IFERROR(__xludf.DUMMYFUNCTION("""COMPUTED_VALUE"""),110.41614246355252)</f>
        <v>110.4161425</v>
      </c>
      <c r="I235" s="7">
        <f>IFERROR(__xludf.DUMMYFUNCTION("""COMPUTED_VALUE"""),32.20706191017367)</f>
        <v>32.20706191</v>
      </c>
      <c r="J235" s="7">
        <f>IFERROR(__xludf.DUMMYFUNCTION("""COMPUTED_VALUE"""),63.79806943282367)</f>
        <v>63.79806943</v>
      </c>
      <c r="K235" s="7">
        <f>IFERROR(__xludf.DUMMYFUNCTION("""COMPUTED_VALUE"""),173.19591422768488)</f>
        <v>173.1959142</v>
      </c>
      <c r="L235" s="7">
        <f>IFERROR(__xludf.DUMMYFUNCTION("""COMPUTED_VALUE"""),969.3442151181346)</f>
        <v>969.3442151</v>
      </c>
    </row>
    <row r="236" ht="15.75" customHeight="1">
      <c r="A236" s="5" t="s">
        <v>41</v>
      </c>
      <c r="C236" s="5" t="s">
        <v>21</v>
      </c>
      <c r="D236" s="5" t="s">
        <v>73</v>
      </c>
      <c r="F236" s="7">
        <f>IFERROR(__xludf.DUMMYFUNCTION("""COMPUTED_VALUE"""),207.19564790171657)</f>
        <v>207.1956479</v>
      </c>
      <c r="G236" s="7">
        <f>IFERROR(__xludf.DUMMYFUNCTION("""COMPUTED_VALUE"""),181.31129906702364)</f>
        <v>181.3112991</v>
      </c>
      <c r="H236" s="7">
        <f>IFERROR(__xludf.DUMMYFUNCTION("""COMPUTED_VALUE"""),166.2859014458567)</f>
        <v>166.2859014</v>
      </c>
      <c r="I236" s="7">
        <f>IFERROR(__xludf.DUMMYFUNCTION("""COMPUTED_VALUE"""),191.84374247150083)</f>
        <v>191.8437425</v>
      </c>
      <c r="J236" s="7">
        <f>IFERROR(__xludf.DUMMYFUNCTION("""COMPUTED_VALUE"""),227.2850855656109)</f>
        <v>227.2850856</v>
      </c>
      <c r="K236" s="7">
        <f>IFERROR(__xludf.DUMMYFUNCTION("""COMPUTED_VALUE"""),264.9198485364329)</f>
        <v>264.9198485</v>
      </c>
      <c r="L236" s="7">
        <f>IFERROR(__xludf.DUMMYFUNCTION("""COMPUTED_VALUE"""),170.31448750862123)</f>
        <v>170.3144875</v>
      </c>
    </row>
    <row r="237" ht="15.75" customHeight="1">
      <c r="A237" s="5" t="s">
        <v>41</v>
      </c>
      <c r="C237" s="5" t="s">
        <v>21</v>
      </c>
      <c r="D237" s="5" t="s">
        <v>74</v>
      </c>
      <c r="F237" s="7">
        <f>IFERROR(__xludf.DUMMYFUNCTION("""COMPUTED_VALUE"""),454.2342865211841)</f>
        <v>454.2342865</v>
      </c>
      <c r="G237" s="7">
        <f>IFERROR(__xludf.DUMMYFUNCTION("""COMPUTED_VALUE"""),706.1884275364379)</f>
        <v>706.1884275</v>
      </c>
      <c r="H237" s="7">
        <f>IFERROR(__xludf.DUMMYFUNCTION("""COMPUTED_VALUE"""),480.6355300499591)</f>
        <v>480.63553</v>
      </c>
      <c r="I237" s="7">
        <f>IFERROR(__xludf.DUMMYFUNCTION("""COMPUTED_VALUE"""),1338.1861888244305)</f>
        <v>1338.186189</v>
      </c>
      <c r="J237" s="7">
        <f>IFERROR(__xludf.DUMMYFUNCTION("""COMPUTED_VALUE"""),709.2040865024213)</f>
        <v>709.2040865</v>
      </c>
      <c r="K237" s="7">
        <f>IFERROR(__xludf.DUMMYFUNCTION("""COMPUTED_VALUE"""),599.7868395294754)</f>
        <v>599.7868395</v>
      </c>
      <c r="L237" s="7">
        <f>IFERROR(__xludf.DUMMYFUNCTION("""COMPUTED_VALUE"""),1016.2326801395346)</f>
        <v>1016.23268</v>
      </c>
    </row>
    <row r="238" ht="15.75" customHeight="1">
      <c r="A238" s="5" t="s">
        <v>41</v>
      </c>
      <c r="C238" s="5" t="s">
        <v>21</v>
      </c>
      <c r="D238" s="5" t="s">
        <v>75</v>
      </c>
      <c r="E238" s="5">
        <v>5.0</v>
      </c>
      <c r="F238" s="7">
        <f>IFERROR(__xludf.DUMMYFUNCTION("""COMPUTED_VALUE"""),100.0)</f>
        <v>100</v>
      </c>
      <c r="G238" s="7">
        <f>IFERROR(__xludf.DUMMYFUNCTION("""COMPUTED_VALUE"""),100.0)</f>
        <v>100</v>
      </c>
      <c r="H238" s="7">
        <f>IFERROR(__xludf.DUMMYFUNCTION("""COMPUTED_VALUE"""),100.0)</f>
        <v>100</v>
      </c>
      <c r="I238" s="7">
        <f>IFERROR(__xludf.DUMMYFUNCTION("""COMPUTED_VALUE"""),100.0)</f>
        <v>100</v>
      </c>
      <c r="J238" s="7">
        <f>IFERROR(__xludf.DUMMYFUNCTION("""COMPUTED_VALUE"""),100.0)</f>
        <v>100</v>
      </c>
      <c r="K238" s="7">
        <f>IFERROR(__xludf.DUMMYFUNCTION("""COMPUTED_VALUE"""),100.0)</f>
        <v>100</v>
      </c>
      <c r="L238" s="7">
        <f>IFERROR(__xludf.DUMMYFUNCTION("""COMPUTED_VALUE"""),100.0)</f>
        <v>100</v>
      </c>
    </row>
    <row r="239" ht="15.75" customHeight="1">
      <c r="A239" s="5" t="s">
        <v>41</v>
      </c>
      <c r="B239" s="5">
        <v>5.0</v>
      </c>
      <c r="C239" s="5" t="s">
        <v>48</v>
      </c>
      <c r="D239" s="8" t="s">
        <v>76</v>
      </c>
      <c r="E239" s="5">
        <v>10.0</v>
      </c>
      <c r="F239" s="5"/>
      <c r="G239" s="5"/>
      <c r="H239" s="5"/>
      <c r="I239" s="5"/>
      <c r="J239" s="5"/>
      <c r="K239" s="5"/>
      <c r="L239" s="5"/>
    </row>
    <row r="240" ht="15.75" customHeight="1">
      <c r="A240" s="5" t="s">
        <v>41</v>
      </c>
      <c r="C240" s="5" t="s">
        <v>21</v>
      </c>
      <c r="D240" s="5" t="s">
        <v>79</v>
      </c>
      <c r="E240" s="5">
        <v>0.5</v>
      </c>
      <c r="F240" s="7">
        <f>IFERROR(__xludf.DUMMYFUNCTION("""COMPUTED_VALUE"""),95.97523219814241)</f>
        <v>95.9752322</v>
      </c>
      <c r="G240" s="7">
        <f>IFERROR(__xludf.DUMMYFUNCTION("""COMPUTED_VALUE"""),99.30184804928132)</f>
        <v>99.30184805</v>
      </c>
      <c r="H240" s="7">
        <f>IFERROR(__xludf.DUMMYFUNCTION("""COMPUTED_VALUE"""),98.52601156069363)</f>
        <v>98.52601156</v>
      </c>
      <c r="I240" s="7">
        <f>IFERROR(__xludf.DUMMYFUNCTION("""COMPUTED_VALUE"""),108.14814814814815)</f>
        <v>108.1481481</v>
      </c>
      <c r="J240" s="7">
        <f>IFERROR(__xludf.DUMMYFUNCTION("""COMPUTED_VALUE"""),99.84067976633033)</f>
        <v>99.84067977</v>
      </c>
      <c r="K240" s="7">
        <f>IFERROR(__xludf.DUMMYFUNCTION("""COMPUTED_VALUE"""),101.94231901118305)</f>
        <v>101.942319</v>
      </c>
      <c r="L240" s="7">
        <f>IFERROR(__xludf.DUMMYFUNCTION("""COMPUTED_VALUE"""),103.54118552732872)</f>
        <v>103.5411855</v>
      </c>
    </row>
    <row r="241" ht="15.75" customHeight="1">
      <c r="A241" s="5" t="s">
        <v>41</v>
      </c>
      <c r="C241" s="5" t="s">
        <v>21</v>
      </c>
      <c r="D241" s="5" t="s">
        <v>81</v>
      </c>
      <c r="E241" s="5">
        <v>1.5</v>
      </c>
      <c r="F241" s="7">
        <f>IFERROR(__xludf.DUMMYFUNCTION("""COMPUTED_VALUE"""),165.95643372348343)</f>
        <v>165.9564337</v>
      </c>
      <c r="G241" s="7">
        <f>IFERROR(__xludf.DUMMYFUNCTION("""COMPUTED_VALUE"""),163.3367848740097)</f>
        <v>163.3367849</v>
      </c>
      <c r="H241" s="7">
        <f>IFERROR(__xludf.DUMMYFUNCTION("""COMPUTED_VALUE"""),160.22674565109037)</f>
        <v>160.2267457</v>
      </c>
      <c r="I241" s="7">
        <f>IFERROR(__xludf.DUMMYFUNCTION("""COMPUTED_VALUE"""),191.38150178658177)</f>
        <v>191.3815018</v>
      </c>
      <c r="J241" s="7">
        <f>IFERROR(__xludf.DUMMYFUNCTION("""COMPUTED_VALUE"""),156.57360998941002)</f>
        <v>156.57361</v>
      </c>
      <c r="K241" s="7">
        <f>IFERROR(__xludf.DUMMYFUNCTION("""COMPUTED_VALUE"""),158.8215978436844)</f>
        <v>158.8215978</v>
      </c>
      <c r="L241" s="7">
        <f>IFERROR(__xludf.DUMMYFUNCTION("""COMPUTED_VALUE"""),178.08728216951866)</f>
        <v>178.0872822</v>
      </c>
    </row>
    <row r="242" ht="15.75" customHeight="1">
      <c r="A242" s="5" t="s">
        <v>41</v>
      </c>
      <c r="C242" s="5" t="s">
        <v>21</v>
      </c>
      <c r="D242" s="5" t="s">
        <v>82</v>
      </c>
      <c r="E242" s="5">
        <v>2.0</v>
      </c>
      <c r="F242" s="7">
        <f>IFERROR(__xludf.DUMMYFUNCTION("""COMPUTED_VALUE"""),87.64900926183546)</f>
        <v>87.64900926</v>
      </c>
      <c r="G242" s="7">
        <f>IFERROR(__xludf.DUMMYFUNCTION("""COMPUTED_VALUE"""),79.95710134886241)</f>
        <v>79.95710135</v>
      </c>
      <c r="H242" s="7">
        <f>IFERROR(__xludf.DUMMYFUNCTION("""COMPUTED_VALUE"""),86.810266925108)</f>
        <v>86.81026693</v>
      </c>
      <c r="I242" s="7">
        <f>IFERROR(__xludf.DUMMYFUNCTION("""COMPUTED_VALUE"""),86.90370986363813)</f>
        <v>86.90370986</v>
      </c>
      <c r="J242" s="7">
        <f>IFERROR(__xludf.DUMMYFUNCTION("""COMPUTED_VALUE"""),81.40421596537524)</f>
        <v>81.40421597</v>
      </c>
      <c r="K242" s="7">
        <f>IFERROR(__xludf.DUMMYFUNCTION("""COMPUTED_VALUE"""),72.30952987978809)</f>
        <v>72.30952988</v>
      </c>
      <c r="L242" s="7">
        <f>IFERROR(__xludf.DUMMYFUNCTION("""COMPUTED_VALUE"""),71.79474259448178)</f>
        <v>71.79474259</v>
      </c>
    </row>
    <row r="243" ht="15.75" customHeight="1">
      <c r="A243" s="5" t="s">
        <v>41</v>
      </c>
      <c r="C243" s="5" t="s">
        <v>21</v>
      </c>
      <c r="D243" s="5" t="s">
        <v>83</v>
      </c>
      <c r="E243" s="5">
        <v>4.0</v>
      </c>
      <c r="F243" s="7">
        <f>IFERROR(__xludf.DUMMYFUNCTION("""COMPUTED_VALUE"""),100.0)</f>
        <v>100</v>
      </c>
      <c r="G243" s="7">
        <f>IFERROR(__xludf.DUMMYFUNCTION("""COMPUTED_VALUE"""),766.6666666666667)</f>
        <v>766.6666667</v>
      </c>
      <c r="H243" s="7">
        <f>IFERROR(__xludf.DUMMYFUNCTION("""COMPUTED_VALUE"""),600.0)</f>
        <v>600</v>
      </c>
      <c r="I243" s="7">
        <f>IFERROR(__xludf.DUMMYFUNCTION("""COMPUTED_VALUE"""),100.0)</f>
        <v>100</v>
      </c>
      <c r="J243" s="7">
        <f>IFERROR(__xludf.DUMMYFUNCTION("""COMPUTED_VALUE"""),200.0)</f>
        <v>200</v>
      </c>
      <c r="K243" s="7">
        <f>IFERROR(__xludf.DUMMYFUNCTION("""COMPUTED_VALUE"""),100.0)</f>
        <v>100</v>
      </c>
      <c r="L243" s="7">
        <f>IFERROR(__xludf.DUMMYFUNCTION("""COMPUTED_VALUE"""),266.66666666666663)</f>
        <v>266.6666667</v>
      </c>
    </row>
    <row r="244" ht="15.75" customHeight="1">
      <c r="A244" s="5" t="s">
        <v>41</v>
      </c>
      <c r="C244" s="5" t="s">
        <v>21</v>
      </c>
      <c r="D244" s="5" t="s">
        <v>84</v>
      </c>
      <c r="E244" s="5">
        <v>2.0</v>
      </c>
      <c r="F244" s="7">
        <f>IFERROR(__xludf.DUMMYFUNCTION("""COMPUTED_VALUE"""),100.0)</f>
        <v>100</v>
      </c>
      <c r="G244" s="7">
        <f>IFERROR(__xludf.DUMMYFUNCTION("""COMPUTED_VALUE"""),1377.1492479016524)</f>
        <v>1377.149248</v>
      </c>
      <c r="H244" s="7">
        <f>IFERROR(__xludf.DUMMYFUNCTION("""COMPUTED_VALUE"""),725.7275379291932)</f>
        <v>725.7275379</v>
      </c>
      <c r="I244" s="7">
        <f>IFERROR(__xludf.DUMMYFUNCTION("""COMPUTED_VALUE"""),100.0)</f>
        <v>100</v>
      </c>
      <c r="J244" s="7">
        <f>IFERROR(__xludf.DUMMYFUNCTION("""COMPUTED_VALUE"""),591.3651172591935)</f>
        <v>591.3651173</v>
      </c>
      <c r="K244" s="7">
        <f>IFERROR(__xludf.DUMMYFUNCTION("""COMPUTED_VALUE"""),100.0)</f>
        <v>100</v>
      </c>
      <c r="L244" s="7">
        <f>IFERROR(__xludf.DUMMYFUNCTION("""COMPUTED_VALUE"""),214.74384279496044)</f>
        <v>214.7438428</v>
      </c>
    </row>
    <row r="245" ht="15.75" customHeight="1">
      <c r="A245" s="5" t="s">
        <v>41</v>
      </c>
      <c r="B245" s="5">
        <v>6.0</v>
      </c>
      <c r="C245" s="5" t="s">
        <v>48</v>
      </c>
      <c r="D245" s="8" t="s">
        <v>85</v>
      </c>
      <c r="E245" s="5">
        <v>8.0</v>
      </c>
      <c r="F245" s="5"/>
      <c r="G245" s="5"/>
      <c r="H245" s="5"/>
      <c r="I245" s="5"/>
      <c r="J245" s="5"/>
      <c r="K245" s="5"/>
      <c r="L245" s="5"/>
    </row>
    <row r="246" ht="15.75" customHeight="1">
      <c r="A246" s="5" t="s">
        <v>41</v>
      </c>
      <c r="C246" s="5" t="s">
        <v>21</v>
      </c>
      <c r="D246" s="5" t="s">
        <v>86</v>
      </c>
      <c r="E246" s="5">
        <v>2.0</v>
      </c>
      <c r="F246" s="7">
        <f>IFERROR(__xludf.DUMMYFUNCTION("""COMPUTED_VALUE"""),100.0)</f>
        <v>100</v>
      </c>
      <c r="G246" s="7">
        <f>IFERROR(__xludf.DUMMYFUNCTION("""COMPUTED_VALUE"""),100.0)</f>
        <v>100</v>
      </c>
      <c r="H246" s="7">
        <f>IFERROR(__xludf.DUMMYFUNCTION("""COMPUTED_VALUE"""),166.66666666666669)</f>
        <v>166.6666667</v>
      </c>
      <c r="I246" s="7">
        <f>IFERROR(__xludf.DUMMYFUNCTION("""COMPUTED_VALUE"""),100.0)</f>
        <v>100</v>
      </c>
      <c r="J246" s="7">
        <f>IFERROR(__xludf.DUMMYFUNCTION("""COMPUTED_VALUE"""),100.0)</f>
        <v>100</v>
      </c>
      <c r="K246" s="7">
        <f>IFERROR(__xludf.DUMMYFUNCTION("""COMPUTED_VALUE"""),100.0)</f>
        <v>100</v>
      </c>
      <c r="L246" s="7">
        <f>IFERROR(__xludf.DUMMYFUNCTION("""COMPUTED_VALUE"""),100.0)</f>
        <v>100</v>
      </c>
    </row>
    <row r="247" ht="15.75" customHeight="1">
      <c r="A247" s="5" t="s">
        <v>41</v>
      </c>
      <c r="C247" s="5" t="s">
        <v>21</v>
      </c>
      <c r="D247" s="5" t="s">
        <v>87</v>
      </c>
      <c r="E247" s="5">
        <v>2.0</v>
      </c>
      <c r="F247" s="7">
        <f>IFERROR(__xludf.DUMMYFUNCTION("""COMPUTED_VALUE"""),131.43333333333334)</f>
        <v>131.4333333</v>
      </c>
      <c r="G247" s="7">
        <f>IFERROR(__xludf.DUMMYFUNCTION("""COMPUTED_VALUE"""),135.56666666666666)</f>
        <v>135.5666667</v>
      </c>
      <c r="H247" s="7">
        <f>IFERROR(__xludf.DUMMYFUNCTION("""COMPUTED_VALUE"""),121.66666666666669)</f>
        <v>121.6666667</v>
      </c>
      <c r="I247" s="7">
        <f>IFERROR(__xludf.DUMMYFUNCTION("""COMPUTED_VALUE"""),129.20000000000002)</f>
        <v>129.2</v>
      </c>
      <c r="J247" s="7">
        <f>IFERROR(__xludf.DUMMYFUNCTION("""COMPUTED_VALUE"""),130.5)</f>
        <v>130.5</v>
      </c>
      <c r="K247" s="7">
        <f>IFERROR(__xludf.DUMMYFUNCTION("""COMPUTED_VALUE"""),131.06666666666666)</f>
        <v>131.0666667</v>
      </c>
      <c r="L247" s="7">
        <f>IFERROR(__xludf.DUMMYFUNCTION("""COMPUTED_VALUE"""),120.6)</f>
        <v>120.6</v>
      </c>
    </row>
    <row r="248" ht="15.75" customHeight="1">
      <c r="A248" s="5" t="s">
        <v>41</v>
      </c>
      <c r="C248" s="5" t="s">
        <v>21</v>
      </c>
      <c r="D248" s="5" t="s">
        <v>88</v>
      </c>
      <c r="E248" s="5">
        <v>2.0</v>
      </c>
      <c r="F248" s="7">
        <f>IFERROR(__xludf.DUMMYFUNCTION("""COMPUTED_VALUE"""),223.94880992877205)</f>
        <v>223.9488099</v>
      </c>
      <c r="G248" s="7">
        <f>IFERROR(__xludf.DUMMYFUNCTION("""COMPUTED_VALUE"""),174.55102934719997)</f>
        <v>174.5510293</v>
      </c>
      <c r="H248" s="7">
        <f>IFERROR(__xludf.DUMMYFUNCTION("""COMPUTED_VALUE"""),185.5859152356396)</f>
        <v>185.5859152</v>
      </c>
      <c r="I248" s="7">
        <f>IFERROR(__xludf.DUMMYFUNCTION("""COMPUTED_VALUE"""),166.67944564733583)</f>
        <v>166.6794456</v>
      </c>
      <c r="J248" s="7">
        <f>IFERROR(__xludf.DUMMYFUNCTION("""COMPUTED_VALUE"""),143.00950327532559)</f>
        <v>143.0095033</v>
      </c>
      <c r="K248" s="7">
        <f>IFERROR(__xludf.DUMMYFUNCTION("""COMPUTED_VALUE"""),185.0168445023673)</f>
        <v>185.0168445</v>
      </c>
      <c r="L248" s="7">
        <f>IFERROR(__xludf.DUMMYFUNCTION("""COMPUTED_VALUE"""),118.81005231136268)</f>
        <v>118.8100523</v>
      </c>
    </row>
    <row r="249" ht="15.75" customHeight="1">
      <c r="A249" s="5" t="s">
        <v>41</v>
      </c>
      <c r="C249" s="5" t="s">
        <v>21</v>
      </c>
      <c r="D249" s="5" t="s">
        <v>89</v>
      </c>
      <c r="E249" s="5">
        <v>1.2</v>
      </c>
      <c r="F249" s="7">
        <f>IFERROR(__xludf.DUMMYFUNCTION("""COMPUTED_VALUE"""),163.51679586563307)</f>
        <v>163.5167959</v>
      </c>
      <c r="G249" s="7">
        <f>IFERROR(__xludf.DUMMYFUNCTION("""COMPUTED_VALUE"""),188.5740066169836)</f>
        <v>188.5740066</v>
      </c>
      <c r="H249" s="7">
        <f>IFERROR(__xludf.DUMMYFUNCTION("""COMPUTED_VALUE"""),212.67247874286946)</f>
        <v>212.6724787</v>
      </c>
      <c r="I249" s="7">
        <f>IFERROR(__xludf.DUMMYFUNCTION("""COMPUTED_VALUE"""),174.20492656412628)</f>
        <v>174.2049266</v>
      </c>
      <c r="J249" s="7">
        <f>IFERROR(__xludf.DUMMYFUNCTION("""COMPUTED_VALUE"""),204.52690738317037)</f>
        <v>204.5269074</v>
      </c>
      <c r="K249" s="7">
        <f>IFERROR(__xludf.DUMMYFUNCTION("""COMPUTED_VALUE"""),177.67066938131052)</f>
        <v>177.6706694</v>
      </c>
      <c r="L249" s="7">
        <f>IFERROR(__xludf.DUMMYFUNCTION("""COMPUTED_VALUE"""),146.41546366528016)</f>
        <v>146.4154637</v>
      </c>
    </row>
    <row r="250" ht="15.75" customHeight="1">
      <c r="A250" s="5" t="s">
        <v>41</v>
      </c>
      <c r="C250" s="5" t="s">
        <v>21</v>
      </c>
      <c r="D250" s="5" t="s">
        <v>92</v>
      </c>
      <c r="E250" s="5">
        <v>0.8</v>
      </c>
      <c r="F250" s="7">
        <f>IFERROR(__xludf.DUMMYFUNCTION("""COMPUTED_VALUE"""),97.3129909950625)</f>
        <v>97.312991</v>
      </c>
      <c r="G250" s="7">
        <f>IFERROR(__xludf.DUMMYFUNCTION("""COMPUTED_VALUE"""),110.0)</f>
        <v>110</v>
      </c>
      <c r="H250" s="7">
        <f>IFERROR(__xludf.DUMMYFUNCTION("""COMPUTED_VALUE"""),101.39869148015232)</f>
        <v>101.3986915</v>
      </c>
      <c r="I250" s="7">
        <f>IFERROR(__xludf.DUMMYFUNCTION("""COMPUTED_VALUE"""),110.0)</f>
        <v>110</v>
      </c>
      <c r="J250" s="7">
        <f>IFERROR(__xludf.DUMMYFUNCTION("""COMPUTED_VALUE"""),110.0)</f>
        <v>110</v>
      </c>
      <c r="K250" s="7">
        <f>IFERROR(__xludf.DUMMYFUNCTION("""COMPUTED_VALUE"""),110.0)</f>
        <v>110</v>
      </c>
      <c r="L250" s="7">
        <f>IFERROR(__xludf.DUMMYFUNCTION("""COMPUTED_VALUE"""),110.0)</f>
        <v>110</v>
      </c>
    </row>
    <row r="251" ht="15.75" customHeight="1">
      <c r="A251" s="5" t="s">
        <v>41</v>
      </c>
      <c r="B251" s="5">
        <v>7.0</v>
      </c>
      <c r="C251" s="5" t="s">
        <v>48</v>
      </c>
      <c r="D251" s="8" t="s">
        <v>94</v>
      </c>
      <c r="E251" s="5">
        <v>7.0</v>
      </c>
      <c r="F251" s="5"/>
      <c r="G251" s="5"/>
      <c r="H251" s="5"/>
      <c r="I251" s="5"/>
      <c r="J251" s="5"/>
      <c r="K251" s="5"/>
      <c r="L251" s="5"/>
    </row>
    <row r="252" ht="15.75" customHeight="1">
      <c r="A252" s="5" t="s">
        <v>41</v>
      </c>
      <c r="C252" s="5" t="s">
        <v>21</v>
      </c>
      <c r="D252" s="5" t="s">
        <v>95</v>
      </c>
      <c r="E252" s="5">
        <v>5.0</v>
      </c>
      <c r="F252" s="7">
        <f>IFERROR(__xludf.DUMMYFUNCTION("""COMPUTED_VALUE"""),124.7787610619469)</f>
        <v>124.7787611</v>
      </c>
      <c r="G252" s="7">
        <f>IFERROR(__xludf.DUMMYFUNCTION("""COMPUTED_VALUE"""),138.06451612903226)</f>
        <v>138.0645161</v>
      </c>
      <c r="H252" s="7">
        <f>IFERROR(__xludf.DUMMYFUNCTION("""COMPUTED_VALUE"""),128.4789644012945)</f>
        <v>128.4789644</v>
      </c>
      <c r="I252" s="7">
        <f>IFERROR(__xludf.DUMMYFUNCTION("""COMPUTED_VALUE"""),138.0281690140845)</f>
        <v>138.028169</v>
      </c>
      <c r="J252" s="7">
        <f>IFERROR(__xludf.DUMMYFUNCTION("""COMPUTED_VALUE"""),131.1377245508982)</f>
        <v>131.1377246</v>
      </c>
      <c r="K252" s="7">
        <f>IFERROR(__xludf.DUMMYFUNCTION("""COMPUTED_VALUE"""),140.9090909090909)</f>
        <v>140.9090909</v>
      </c>
      <c r="L252" s="7">
        <f>IFERROR(__xludf.DUMMYFUNCTION("""COMPUTED_VALUE"""),140.56603773584905)</f>
        <v>140.5660377</v>
      </c>
    </row>
    <row r="253" ht="15.75" customHeight="1">
      <c r="A253" s="5" t="s">
        <v>41</v>
      </c>
      <c r="C253" s="5" t="s">
        <v>21</v>
      </c>
      <c r="D253" s="5" t="s">
        <v>96</v>
      </c>
      <c r="E253" s="5">
        <v>2.0</v>
      </c>
      <c r="F253" s="7">
        <f>IFERROR(__xludf.DUMMYFUNCTION("""COMPUTED_VALUE"""),100.0)</f>
        <v>100</v>
      </c>
      <c r="G253" s="7">
        <f>IFERROR(__xludf.DUMMYFUNCTION("""COMPUTED_VALUE"""),133.33333333333334)</f>
        <v>133.3333333</v>
      </c>
      <c r="H253" s="7">
        <f>IFERROR(__xludf.DUMMYFUNCTION("""COMPUTED_VALUE"""),120.0)</f>
        <v>120</v>
      </c>
      <c r="I253" s="7">
        <f>IFERROR(__xludf.DUMMYFUNCTION("""COMPUTED_VALUE"""),150.0)</f>
        <v>150</v>
      </c>
      <c r="J253" s="7">
        <f>IFERROR(__xludf.DUMMYFUNCTION("""COMPUTED_VALUE"""),100.0)</f>
        <v>100</v>
      </c>
      <c r="K253" s="7">
        <f>IFERROR(__xludf.DUMMYFUNCTION("""COMPUTED_VALUE"""),125.0)</f>
        <v>125</v>
      </c>
      <c r="L253" s="7">
        <f>IFERROR(__xludf.DUMMYFUNCTION("""COMPUTED_VALUE"""),100.0)</f>
        <v>100</v>
      </c>
    </row>
    <row r="254" ht="15.75" customHeight="1">
      <c r="A254" s="5" t="s">
        <v>41</v>
      </c>
      <c r="B254" s="5">
        <v>8.0</v>
      </c>
      <c r="C254" s="5" t="s">
        <v>48</v>
      </c>
      <c r="D254" s="8" t="s">
        <v>97</v>
      </c>
      <c r="E254" s="5">
        <v>8.0</v>
      </c>
      <c r="F254" s="5"/>
      <c r="G254" s="5"/>
      <c r="H254" s="5"/>
      <c r="I254" s="5"/>
      <c r="J254" s="5"/>
      <c r="K254" s="5"/>
      <c r="L254" s="5"/>
    </row>
    <row r="255" ht="15.75" customHeight="1">
      <c r="A255" s="5" t="s">
        <v>41</v>
      </c>
      <c r="C255" s="5" t="s">
        <v>21</v>
      </c>
      <c r="D255" s="5" t="s">
        <v>98</v>
      </c>
      <c r="E255" s="5">
        <v>6.0</v>
      </c>
      <c r="F255" s="7">
        <f>IFERROR(__xludf.DUMMYFUNCTION("""COMPUTED_VALUE"""),110.00000000000001)</f>
        <v>110</v>
      </c>
      <c r="G255" s="7">
        <f>IFERROR(__xludf.DUMMYFUNCTION("""COMPUTED_VALUE"""),110.00000000000001)</f>
        <v>110</v>
      </c>
      <c r="H255" s="7">
        <f>IFERROR(__xludf.DUMMYFUNCTION("""COMPUTED_VALUE"""),110.00000000000001)</f>
        <v>110</v>
      </c>
      <c r="I255" s="7">
        <f>IFERROR(__xludf.DUMMYFUNCTION("""COMPUTED_VALUE"""),110.00000000000001)</f>
        <v>110</v>
      </c>
      <c r="J255" s="7">
        <f>IFERROR(__xludf.DUMMYFUNCTION("""COMPUTED_VALUE"""),110.00000000000001)</f>
        <v>110</v>
      </c>
      <c r="K255" s="7">
        <f>IFERROR(__xludf.DUMMYFUNCTION("""COMPUTED_VALUE"""),110.00000000000001)</f>
        <v>110</v>
      </c>
      <c r="L255" s="7">
        <f>IFERROR(__xludf.DUMMYFUNCTION("""COMPUTED_VALUE"""),110.00000000000001)</f>
        <v>110</v>
      </c>
    </row>
    <row r="256" ht="15.75" customHeight="1">
      <c r="A256" s="5" t="s">
        <v>41</v>
      </c>
      <c r="C256" s="5" t="s">
        <v>21</v>
      </c>
      <c r="D256" s="5" t="s">
        <v>99</v>
      </c>
      <c r="E256" s="5">
        <v>2.0</v>
      </c>
      <c r="F256" s="7">
        <f>IFERROR(__xludf.DUMMYFUNCTION("""COMPUTED_VALUE"""),110.00000000000001)</f>
        <v>110</v>
      </c>
      <c r="G256" s="7">
        <f>IFERROR(__xludf.DUMMYFUNCTION("""COMPUTED_VALUE"""),110.00000000000001)</f>
        <v>110</v>
      </c>
      <c r="H256" s="7">
        <f>IFERROR(__xludf.DUMMYFUNCTION("""COMPUTED_VALUE"""),110.00000000000001)</f>
        <v>110</v>
      </c>
      <c r="I256" s="7">
        <f>IFERROR(__xludf.DUMMYFUNCTION("""COMPUTED_VALUE"""),110.00000000000001)</f>
        <v>110</v>
      </c>
      <c r="J256" s="7">
        <f>IFERROR(__xludf.DUMMYFUNCTION("""COMPUTED_VALUE"""),110.00000000000001)</f>
        <v>110</v>
      </c>
      <c r="K256" s="7">
        <f>IFERROR(__xludf.DUMMYFUNCTION("""COMPUTED_VALUE"""),110.00000000000001)</f>
        <v>110</v>
      </c>
      <c r="L256" s="7">
        <f>IFERROR(__xludf.DUMMYFUNCTION("""COMPUTED_VALUE"""),110.00000000000001)</f>
        <v>110</v>
      </c>
    </row>
    <row r="257" ht="15.75" customHeight="1">
      <c r="A257" s="5" t="s">
        <v>41</v>
      </c>
      <c r="B257" s="5">
        <v>9.0</v>
      </c>
      <c r="C257" s="5" t="s">
        <v>48</v>
      </c>
      <c r="D257" s="8" t="s">
        <v>101</v>
      </c>
      <c r="E257" s="5">
        <v>6.0</v>
      </c>
      <c r="F257" s="5"/>
      <c r="G257" s="5"/>
      <c r="H257" s="5"/>
      <c r="I257" s="5"/>
      <c r="J257" s="5"/>
      <c r="K257" s="5"/>
      <c r="L257" s="5"/>
    </row>
    <row r="258" ht="15.75" customHeight="1">
      <c r="A258" s="5" t="s">
        <v>41</v>
      </c>
      <c r="C258" s="5" t="s">
        <v>21</v>
      </c>
      <c r="D258" s="5" t="s">
        <v>102</v>
      </c>
      <c r="E258" s="5">
        <v>2.0</v>
      </c>
      <c r="F258" s="7">
        <f>IFERROR(__xludf.DUMMYFUNCTION("""COMPUTED_VALUE"""),713.6108638135175)</f>
        <v>713.6108638</v>
      </c>
      <c r="G258" s="7">
        <f>IFERROR(__xludf.DUMMYFUNCTION("""COMPUTED_VALUE"""),497.9714439072521)</f>
        <v>497.9714439</v>
      </c>
      <c r="H258" s="7">
        <f>IFERROR(__xludf.DUMMYFUNCTION("""COMPUTED_VALUE"""),161.2636905744987)</f>
        <v>161.2636906</v>
      </c>
      <c r="I258" s="7">
        <f>IFERROR(__xludf.DUMMYFUNCTION("""COMPUTED_VALUE"""),120.03612180896832)</f>
        <v>120.0361218</v>
      </c>
      <c r="J258" s="7">
        <f>IFERROR(__xludf.DUMMYFUNCTION("""COMPUTED_VALUE"""),189.36758723468313)</f>
        <v>189.3675872</v>
      </c>
      <c r="K258" s="7">
        <f>IFERROR(__xludf.DUMMYFUNCTION("""COMPUTED_VALUE"""),124.19178860489058)</f>
        <v>124.1917886</v>
      </c>
      <c r="L258" s="7">
        <f>IFERROR(__xludf.DUMMYFUNCTION("""COMPUTED_VALUE"""),159.32122089294523)</f>
        <v>159.3212209</v>
      </c>
    </row>
    <row r="259" ht="15.75" customHeight="1">
      <c r="A259" s="5" t="s">
        <v>41</v>
      </c>
      <c r="C259" s="5" t="s">
        <v>21</v>
      </c>
      <c r="D259" s="5" t="s">
        <v>103</v>
      </c>
      <c r="E259" s="5">
        <v>2.0</v>
      </c>
      <c r="F259" s="7">
        <f>IFERROR(__xludf.DUMMYFUNCTION("""COMPUTED_VALUE"""),275.46964842750197)</f>
        <v>275.4696484</v>
      </c>
      <c r="G259" s="7">
        <f>IFERROR(__xludf.DUMMYFUNCTION("""COMPUTED_VALUE"""),288.8115680740612)</f>
        <v>288.8115681</v>
      </c>
      <c r="H259" s="7">
        <f>IFERROR(__xludf.DUMMYFUNCTION("""COMPUTED_VALUE"""),305.6252412666117)</f>
        <v>305.6252413</v>
      </c>
      <c r="I259" s="7">
        <f>IFERROR(__xludf.DUMMYFUNCTION("""COMPUTED_VALUE"""),440.56010448614734)</f>
        <v>440.5601045</v>
      </c>
      <c r="J259" s="7">
        <f>IFERROR(__xludf.DUMMYFUNCTION("""COMPUTED_VALUE"""),309.02338082555184)</f>
        <v>309.0233808</v>
      </c>
      <c r="K259" s="7">
        <f>IFERROR(__xludf.DUMMYFUNCTION("""COMPUTED_VALUE"""),541.9376595907407)</f>
        <v>541.9376596</v>
      </c>
      <c r="L259" s="7">
        <f>IFERROR(__xludf.DUMMYFUNCTION("""COMPUTED_VALUE"""),466.4233515490408)</f>
        <v>466.4233515</v>
      </c>
    </row>
    <row r="260" ht="15.75" customHeight="1">
      <c r="A260" s="5" t="s">
        <v>41</v>
      </c>
      <c r="C260" s="5" t="s">
        <v>21</v>
      </c>
      <c r="D260" s="5" t="s">
        <v>104</v>
      </c>
      <c r="E260" s="5">
        <v>2.0</v>
      </c>
      <c r="F260" s="7">
        <f>IFERROR(__xludf.DUMMYFUNCTION("""COMPUTED_VALUE"""),100.0)</f>
        <v>100</v>
      </c>
      <c r="G260" s="7">
        <f>IFERROR(__xludf.DUMMYFUNCTION("""COMPUTED_VALUE"""),100.0)</f>
        <v>100</v>
      </c>
      <c r="H260" s="7">
        <f>IFERROR(__xludf.DUMMYFUNCTION("""COMPUTED_VALUE"""),100.0)</f>
        <v>100</v>
      </c>
      <c r="I260" s="7">
        <f>IFERROR(__xludf.DUMMYFUNCTION("""COMPUTED_VALUE"""),100.0)</f>
        <v>100</v>
      </c>
      <c r="J260" s="7">
        <f>IFERROR(__xludf.DUMMYFUNCTION("""COMPUTED_VALUE"""),100.0)</f>
        <v>100</v>
      </c>
      <c r="K260" s="7">
        <f>IFERROR(__xludf.DUMMYFUNCTION("""COMPUTED_VALUE"""),100.0)</f>
        <v>100</v>
      </c>
      <c r="L260" s="7">
        <f>IFERROR(__xludf.DUMMYFUNCTION("""COMPUTED_VALUE"""),100.0)</f>
        <v>100</v>
      </c>
    </row>
    <row r="261" ht="15.75" customHeight="1">
      <c r="A261" s="5" t="s">
        <v>41</v>
      </c>
      <c r="B261" s="5">
        <v>10.0</v>
      </c>
      <c r="C261" s="5" t="s">
        <v>48</v>
      </c>
      <c r="D261" s="8" t="s">
        <v>107</v>
      </c>
      <c r="E261" s="5">
        <v>7.0</v>
      </c>
      <c r="F261" s="5"/>
      <c r="G261" s="5"/>
      <c r="H261" s="5"/>
      <c r="I261" s="5"/>
      <c r="J261" s="5"/>
      <c r="K261" s="5"/>
      <c r="L261" s="5"/>
    </row>
    <row r="262" ht="15.75" customHeight="1">
      <c r="A262" s="5" t="s">
        <v>41</v>
      </c>
      <c r="C262" s="5" t="s">
        <v>21</v>
      </c>
      <c r="D262" s="5" t="s">
        <v>108</v>
      </c>
      <c r="E262" s="5">
        <v>3.0</v>
      </c>
      <c r="F262" s="7">
        <f>IFERROR(__xludf.DUMMYFUNCTION("""COMPUTED_VALUE"""),95.42750644642447)</f>
        <v>95.42750645</v>
      </c>
      <c r="G262" s="7">
        <f>IFERROR(__xludf.DUMMYFUNCTION("""COMPUTED_VALUE"""),60.245294113701455)</f>
        <v>60.24529411</v>
      </c>
      <c r="H262" s="7">
        <f>IFERROR(__xludf.DUMMYFUNCTION("""COMPUTED_VALUE"""),109.83430774336848)</f>
        <v>109.8343077</v>
      </c>
      <c r="I262" s="7">
        <f>IFERROR(__xludf.DUMMYFUNCTION("""COMPUTED_VALUE"""),59.414923981121916)</f>
        <v>59.41492398</v>
      </c>
      <c r="J262" s="7">
        <f>IFERROR(__xludf.DUMMYFUNCTION("""COMPUTED_VALUE"""),125.75701595155098)</f>
        <v>125.757016</v>
      </c>
      <c r="K262" s="7">
        <f>IFERROR(__xludf.DUMMYFUNCTION("""COMPUTED_VALUE"""),47.30228434952135)</f>
        <v>47.30228435</v>
      </c>
      <c r="L262" s="7">
        <f>IFERROR(__xludf.DUMMYFUNCTION("""COMPUTED_VALUE"""),110.55442423118484)</f>
        <v>110.5544242</v>
      </c>
    </row>
    <row r="263" ht="15.75" customHeight="1">
      <c r="A263" s="5" t="s">
        <v>41</v>
      </c>
      <c r="C263" s="5" t="s">
        <v>21</v>
      </c>
      <c r="D263" s="5" t="s">
        <v>109</v>
      </c>
      <c r="E263" s="5">
        <v>2.0</v>
      </c>
      <c r="F263" s="7">
        <f>IFERROR(__xludf.DUMMYFUNCTION("""COMPUTED_VALUE"""),119.3089430894309)</f>
        <v>119.3089431</v>
      </c>
      <c r="G263" s="7">
        <f>IFERROR(__xludf.DUMMYFUNCTION("""COMPUTED_VALUE"""),127.83725910064241)</f>
        <v>127.8372591</v>
      </c>
      <c r="H263" s="7">
        <f>IFERROR(__xludf.DUMMYFUNCTION("""COMPUTED_VALUE"""),186.6700977869274)</f>
        <v>186.6700978</v>
      </c>
      <c r="I263" s="7">
        <f>IFERROR(__xludf.DUMMYFUNCTION("""COMPUTED_VALUE"""),152.67175572519085)</f>
        <v>152.6717557</v>
      </c>
      <c r="J263" s="7">
        <f>IFERROR(__xludf.DUMMYFUNCTION("""COMPUTED_VALUE"""),137.91374122367102)</f>
        <v>137.9137412</v>
      </c>
      <c r="K263" s="7">
        <f>IFERROR(__xludf.DUMMYFUNCTION("""COMPUTED_VALUE"""),148.63861386138615)</f>
        <v>148.6386139</v>
      </c>
      <c r="L263" s="7">
        <f>IFERROR(__xludf.DUMMYFUNCTION("""COMPUTED_VALUE"""),127.04761904761905)</f>
        <v>127.047619</v>
      </c>
    </row>
    <row r="264" ht="15.75" customHeight="1">
      <c r="A264" s="5" t="s">
        <v>41</v>
      </c>
      <c r="C264" s="5" t="s">
        <v>21</v>
      </c>
      <c r="D264" s="5" t="s">
        <v>110</v>
      </c>
      <c r="E264" s="5">
        <v>2.0</v>
      </c>
      <c r="F264" s="7">
        <f>IFERROR(__xludf.DUMMYFUNCTION("""COMPUTED_VALUE"""),100.0)</f>
        <v>100</v>
      </c>
      <c r="G264" s="7">
        <f>IFERROR(__xludf.DUMMYFUNCTION("""COMPUTED_VALUE"""),100.0)</f>
        <v>100</v>
      </c>
      <c r="H264" s="7">
        <f>IFERROR(__xludf.DUMMYFUNCTION("""COMPUTED_VALUE"""),100.0)</f>
        <v>100</v>
      </c>
      <c r="I264" s="7">
        <f>IFERROR(__xludf.DUMMYFUNCTION("""COMPUTED_VALUE"""),100.0)</f>
        <v>100</v>
      </c>
      <c r="J264" s="7">
        <f>IFERROR(__xludf.DUMMYFUNCTION("""COMPUTED_VALUE"""),100.0)</f>
        <v>100</v>
      </c>
      <c r="K264" s="7">
        <f>IFERROR(__xludf.DUMMYFUNCTION("""COMPUTED_VALUE"""),100.0)</f>
        <v>100</v>
      </c>
      <c r="L264" s="7">
        <f>IFERROR(__xludf.DUMMYFUNCTION("""COMPUTED_VALUE"""),100.0)</f>
        <v>100</v>
      </c>
    </row>
    <row r="265" ht="15.75" customHeight="1">
      <c r="A265" s="5" t="s">
        <v>41</v>
      </c>
      <c r="B265" s="15">
        <v>11.0</v>
      </c>
      <c r="C265" s="5" t="s">
        <v>48</v>
      </c>
      <c r="D265" s="8" t="s">
        <v>111</v>
      </c>
      <c r="E265" s="15">
        <v>4.0</v>
      </c>
      <c r="F265" s="5"/>
      <c r="G265" s="5"/>
      <c r="H265" s="5"/>
      <c r="I265" s="5"/>
      <c r="J265" s="5"/>
      <c r="K265" s="5"/>
      <c r="L265" s="5"/>
    </row>
    <row r="266" ht="15.75" customHeight="1">
      <c r="A266" s="5" t="s">
        <v>41</v>
      </c>
      <c r="C266" s="5" t="b">
        <v>0</v>
      </c>
      <c r="D266" s="15" t="s">
        <v>112</v>
      </c>
      <c r="E266" s="15">
        <v>2.0</v>
      </c>
      <c r="F266" s="7">
        <f>IFERROR(__xludf.DUMMYFUNCTION("""COMPUTED_VALUE"""),104.41)</f>
        <v>104.41</v>
      </c>
      <c r="G266" s="7">
        <f>IFERROR(__xludf.DUMMYFUNCTION("""COMPUTED_VALUE"""),104.41)</f>
        <v>104.41</v>
      </c>
      <c r="H266" s="7">
        <f>IFERROR(__xludf.DUMMYFUNCTION("""COMPUTED_VALUE"""),104.41)</f>
        <v>104.41</v>
      </c>
      <c r="I266" s="7">
        <f>IFERROR(__xludf.DUMMYFUNCTION("""COMPUTED_VALUE"""),104.41)</f>
        <v>104.41</v>
      </c>
      <c r="J266" s="7">
        <f>IFERROR(__xludf.DUMMYFUNCTION("""COMPUTED_VALUE"""),104.41)</f>
        <v>104.41</v>
      </c>
      <c r="K266" s="7">
        <f>IFERROR(__xludf.DUMMYFUNCTION("""COMPUTED_VALUE"""),104.41)</f>
        <v>104.41</v>
      </c>
      <c r="L266" s="7">
        <f>IFERROR(__xludf.DUMMYFUNCTION("""COMPUTED_VALUE"""),104.41)</f>
        <v>104.41</v>
      </c>
    </row>
    <row r="267" ht="15.75" customHeight="1">
      <c r="A267" s="5" t="s">
        <v>41</v>
      </c>
      <c r="C267" s="5" t="s">
        <v>21</v>
      </c>
      <c r="D267" s="15" t="s">
        <v>113</v>
      </c>
      <c r="E267" s="15">
        <v>2.0</v>
      </c>
      <c r="F267" s="7">
        <f>IFERROR(__xludf.DUMMYFUNCTION("""COMPUTED_VALUE"""),100.0)</f>
        <v>100</v>
      </c>
      <c r="G267" s="7">
        <f>IFERROR(__xludf.DUMMYFUNCTION("""COMPUTED_VALUE"""),100.0)</f>
        <v>100</v>
      </c>
      <c r="H267" s="7">
        <f>IFERROR(__xludf.DUMMYFUNCTION("""COMPUTED_VALUE"""),100.0)</f>
        <v>100</v>
      </c>
      <c r="I267" s="7">
        <f>IFERROR(__xludf.DUMMYFUNCTION("""COMPUTED_VALUE"""),100.0)</f>
        <v>100</v>
      </c>
      <c r="J267" s="7">
        <f>IFERROR(__xludf.DUMMYFUNCTION("""COMPUTED_VALUE"""),100.0)</f>
        <v>100</v>
      </c>
      <c r="K267" s="7">
        <f>IFERROR(__xludf.DUMMYFUNCTION("""COMPUTED_VALUE"""),100.0)</f>
        <v>100</v>
      </c>
      <c r="L267" s="7">
        <f>IFERROR(__xludf.DUMMYFUNCTION("""COMPUTED_VALUE"""),100.0)</f>
        <v>100</v>
      </c>
    </row>
    <row r="268" ht="15.75" customHeight="1">
      <c r="A268" s="5" t="s">
        <v>41</v>
      </c>
      <c r="B268" s="15">
        <v>12.0</v>
      </c>
      <c r="C268" s="5" t="s">
        <v>48</v>
      </c>
      <c r="D268" s="8" t="s">
        <v>117</v>
      </c>
    </row>
    <row r="269" ht="15.75" customHeight="1">
      <c r="A269" s="5" t="s">
        <v>41</v>
      </c>
      <c r="C269" s="5" t="s">
        <v>21</v>
      </c>
      <c r="D269" s="15" t="s">
        <v>118</v>
      </c>
    </row>
    <row r="270" ht="15.75" customHeight="1">
      <c r="A270" s="5" t="s">
        <v>41</v>
      </c>
      <c r="C270" s="5" t="s">
        <v>21</v>
      </c>
      <c r="D270" s="15" t="s">
        <v>119</v>
      </c>
    </row>
    <row r="271" ht="15.75" customHeight="1">
      <c r="A271" s="5" t="s">
        <v>41</v>
      </c>
      <c r="C271" s="5" t="s">
        <v>21</v>
      </c>
      <c r="D271" s="15" t="s">
        <v>120</v>
      </c>
    </row>
    <row r="272" ht="15.75" customHeight="1">
      <c r="A272" s="5" t="s">
        <v>42</v>
      </c>
      <c r="B272" s="5">
        <v>1.0</v>
      </c>
      <c r="C272" s="5" t="s">
        <v>21</v>
      </c>
      <c r="D272" s="5" t="s">
        <v>23</v>
      </c>
      <c r="E272" s="5">
        <v>14.0</v>
      </c>
      <c r="F272" s="7">
        <f>IFERROR(__xludf.DUMMYFUNCTION("IMPORTRANGE(""1e7--NjE9N54w7uxIeTVQ2x149gW2CjGTf8gPedLtEqw"",""MDK!BX5:BX45"")"),60.0)</f>
        <v>60</v>
      </c>
      <c r="G272" s="7">
        <f>IFERROR(__xludf.DUMMYFUNCTION("IMPORTRANGE(""1e7--NjE9N54w7uxIeTVQ2x149gW2CjGTf8gPedLtEqw"",""MGT!BX5:BX45"")"),60.0)</f>
        <v>60</v>
      </c>
      <c r="H272" s="7">
        <f>IFERROR(__xludf.DUMMYFUNCTION("IMPORTRANGE(""1e7--NjE9N54w7uxIeTVQ2x149gW2CjGTf8gPedLtEqw"",""NGW!BX5:BX45"")"),60.0)</f>
        <v>60</v>
      </c>
      <c r="I272" s="7">
        <f>IFERROR(__xludf.DUMMYFUNCTION("IMPORTRANGE(""1e7--NjE9N54w7uxIeTVQ2x149gW2CjGTf8gPedLtEqw"",""MPT!BX5:BX45"")"),60.0)</f>
        <v>60</v>
      </c>
      <c r="J272" s="7">
        <f>IFERROR(__xludf.DUMMYFUNCTION("IMPORTRANGE(""1e7--NjE9N54w7uxIeTVQ2x149gW2CjGTf8gPedLtEqw"",""CRB!BX5:BX45"")"),60.0)</f>
        <v>60</v>
      </c>
      <c r="K272" s="7">
        <f>IFERROR(__xludf.DUMMYFUNCTION("IMPORTRANGE(""1e7--NjE9N54w7uxIeTVQ2x149gW2CjGTf8gPedLtEqw"",""DLP!BX5:BX45"")"),60.0)</f>
        <v>60</v>
      </c>
      <c r="L272" s="7">
        <f>IFERROR(__xludf.DUMMYFUNCTION("IMPORTRANGE(""1e7--NjE9N54w7uxIeTVQ2x149gW2CjGTf8gPedLtEqw"",""MTN!BX5:BX45"")"),60.0)</f>
        <v>60</v>
      </c>
    </row>
    <row r="273" ht="15.75" customHeight="1">
      <c r="A273" s="5" t="s">
        <v>42</v>
      </c>
      <c r="B273" s="5">
        <v>2.0</v>
      </c>
      <c r="C273" s="5" t="s">
        <v>21</v>
      </c>
      <c r="D273" s="5" t="s">
        <v>40</v>
      </c>
      <c r="E273" s="5">
        <v>12.0</v>
      </c>
      <c r="F273" s="7">
        <f>IFERROR(__xludf.DUMMYFUNCTION("""COMPUTED_VALUE"""),575.9994389490411)</f>
        <v>575.9994389</v>
      </c>
      <c r="G273" s="7">
        <f>IFERROR(__xludf.DUMMYFUNCTION("""COMPUTED_VALUE"""),846.6682969247911)</f>
        <v>846.6682969</v>
      </c>
      <c r="H273" s="7">
        <f>IFERROR(__xludf.DUMMYFUNCTION("""COMPUTED_VALUE"""),884.065609340178)</f>
        <v>884.0656093</v>
      </c>
      <c r="I273" s="7">
        <f>IFERROR(__xludf.DUMMYFUNCTION("""COMPUTED_VALUE"""),581.991823146621)</f>
        <v>581.9918231</v>
      </c>
      <c r="J273" s="7">
        <f>IFERROR(__xludf.DUMMYFUNCTION("""COMPUTED_VALUE"""),595.817129391736)</f>
        <v>595.8171294</v>
      </c>
      <c r="K273" s="7">
        <f>IFERROR(__xludf.DUMMYFUNCTION("""COMPUTED_VALUE"""),655.79679856204)</f>
        <v>655.7967986</v>
      </c>
      <c r="L273" s="7">
        <f>IFERROR(__xludf.DUMMYFUNCTION("""COMPUTED_VALUE"""),1227.34677406356)</f>
        <v>1227.346774</v>
      </c>
    </row>
    <row r="274" ht="15.75" customHeight="1">
      <c r="A274" s="5" t="s">
        <v>42</v>
      </c>
      <c r="B274" s="5">
        <v>3.0</v>
      </c>
      <c r="C274" s="5" t="s">
        <v>48</v>
      </c>
      <c r="D274" s="8" t="s">
        <v>49</v>
      </c>
      <c r="E274" s="5">
        <v>14.0</v>
      </c>
      <c r="F274" s="5"/>
      <c r="G274" s="5"/>
      <c r="H274" s="5"/>
      <c r="I274" s="5"/>
      <c r="J274" s="5"/>
      <c r="K274" s="5"/>
      <c r="L274" s="5"/>
    </row>
    <row r="275" ht="15.75" customHeight="1">
      <c r="A275" s="5" t="s">
        <v>42</v>
      </c>
      <c r="C275" s="5" t="s">
        <v>21</v>
      </c>
      <c r="D275" s="5" t="s">
        <v>51</v>
      </c>
      <c r="E275" s="5">
        <v>6.0</v>
      </c>
      <c r="F275" s="7">
        <f>IFERROR(__xludf.DUMMYFUNCTION("""COMPUTED_VALUE"""),94.35296014404398)</f>
        <v>94.35296014</v>
      </c>
      <c r="G275" s="7">
        <f>IFERROR(__xludf.DUMMYFUNCTION("""COMPUTED_VALUE"""),85.50019306843717)</f>
        <v>85.50019307</v>
      </c>
      <c r="H275" s="7">
        <f>IFERROR(__xludf.DUMMYFUNCTION("""COMPUTED_VALUE"""),114.68114426351347)</f>
        <v>114.6811443</v>
      </c>
      <c r="I275" s="7">
        <f>IFERROR(__xludf.DUMMYFUNCTION("""COMPUTED_VALUE"""),65.92195598802387)</f>
        <v>65.92195599</v>
      </c>
      <c r="J275" s="7">
        <f>IFERROR(__xludf.DUMMYFUNCTION("""COMPUTED_VALUE"""),79.94163589844763)</f>
        <v>79.9416359</v>
      </c>
      <c r="K275" s="7">
        <f>IFERROR(__xludf.DUMMYFUNCTION("""COMPUTED_VALUE"""),120.91121112721797)</f>
        <v>120.9112111</v>
      </c>
      <c r="L275" s="7">
        <f>IFERROR(__xludf.DUMMYFUNCTION("""COMPUTED_VALUE"""),0.0)</f>
        <v>0</v>
      </c>
    </row>
    <row r="276" ht="15.75" customHeight="1">
      <c r="A276" s="5" t="s">
        <v>42</v>
      </c>
      <c r="C276" s="5" t="s">
        <v>21</v>
      </c>
      <c r="D276" s="5" t="s">
        <v>53</v>
      </c>
      <c r="E276" s="5">
        <v>6.0</v>
      </c>
      <c r="F276" s="7">
        <f>IFERROR(__xludf.DUMMYFUNCTION("""COMPUTED_VALUE"""),94.18205730463924)</f>
        <v>94.1820573</v>
      </c>
      <c r="G276" s="7">
        <f>IFERROR(__xludf.DUMMYFUNCTION("""COMPUTED_VALUE"""),105.46345551094475)</f>
        <v>105.4634555</v>
      </c>
      <c r="H276" s="7">
        <f>IFERROR(__xludf.DUMMYFUNCTION("""COMPUTED_VALUE"""),108.98424655732748)</f>
        <v>108.9842466</v>
      </c>
      <c r="I276" s="7">
        <f>IFERROR(__xludf.DUMMYFUNCTION("""COMPUTED_VALUE"""),89.30053265215025)</f>
        <v>89.30053265</v>
      </c>
      <c r="J276" s="7">
        <f>IFERROR(__xludf.DUMMYFUNCTION("""COMPUTED_VALUE"""),78.40582842035096)</f>
        <v>78.40582842</v>
      </c>
      <c r="K276" s="7">
        <f>IFERROR(__xludf.DUMMYFUNCTION("""COMPUTED_VALUE"""),120.52013223376309)</f>
        <v>120.5201322</v>
      </c>
      <c r="L276" s="7">
        <f>IFERROR(__xludf.DUMMYFUNCTION("""COMPUTED_VALUE"""),0.0)</f>
        <v>0</v>
      </c>
    </row>
    <row r="277" ht="15.75" customHeight="1">
      <c r="A277" s="5" t="s">
        <v>42</v>
      </c>
      <c r="C277" s="5" t="s">
        <v>21</v>
      </c>
      <c r="D277" s="5" t="s">
        <v>55</v>
      </c>
      <c r="E277" s="5">
        <v>2.0</v>
      </c>
      <c r="F277" s="7">
        <f>IFERROR(__xludf.DUMMYFUNCTION("""COMPUTED_VALUE"""),93.27271774507697)</f>
        <v>93.27271775</v>
      </c>
      <c r="G277" s="7">
        <f>IFERROR(__xludf.DUMMYFUNCTION("""COMPUTED_VALUE"""),103.52923416589026)</f>
        <v>103.5292342</v>
      </c>
      <c r="H277" s="7">
        <f>IFERROR(__xludf.DUMMYFUNCTION("""COMPUTED_VALUE"""),122.39533683553594)</f>
        <v>122.3953368</v>
      </c>
      <c r="I277" s="7">
        <f>IFERROR(__xludf.DUMMYFUNCTION("""COMPUTED_VALUE"""),63.84587966146162)</f>
        <v>63.84587966</v>
      </c>
      <c r="J277" s="7">
        <f>IFERROR(__xludf.DUMMYFUNCTION("""COMPUTED_VALUE"""),82.56399710076734)</f>
        <v>82.5639971</v>
      </c>
      <c r="K277" s="7">
        <f>IFERROR(__xludf.DUMMYFUNCTION("""COMPUTED_VALUE"""),123.7465879856933)</f>
        <v>123.746588</v>
      </c>
      <c r="L277" s="7">
        <f>IFERROR(__xludf.DUMMYFUNCTION("""COMPUTED_VALUE"""),0.0)</f>
        <v>0</v>
      </c>
    </row>
    <row r="278" ht="15.75" customHeight="1">
      <c r="A278" s="5" t="s">
        <v>42</v>
      </c>
      <c r="B278" s="5">
        <v>4.0</v>
      </c>
      <c r="C278" s="5" t="s">
        <v>48</v>
      </c>
      <c r="D278" s="8" t="s">
        <v>62</v>
      </c>
      <c r="E278" s="5">
        <v>10.0</v>
      </c>
      <c r="F278" s="5"/>
      <c r="G278" s="5"/>
      <c r="H278" s="5"/>
      <c r="I278" s="5"/>
      <c r="J278" s="5"/>
      <c r="K278" s="5"/>
      <c r="L278" s="5"/>
    </row>
    <row r="279" ht="15.75" customHeight="1">
      <c r="A279" s="5" t="s">
        <v>42</v>
      </c>
      <c r="C279" s="5" t="s">
        <v>21</v>
      </c>
      <c r="D279" s="5" t="s">
        <v>64</v>
      </c>
      <c r="E279" s="5">
        <v>5.0</v>
      </c>
      <c r="F279" s="7">
        <f>IFERROR(__xludf.DUMMYFUNCTION("""COMPUTED_VALUE"""),0.0)</f>
        <v>0</v>
      </c>
      <c r="G279" s="7">
        <f>IFERROR(__xludf.DUMMYFUNCTION("""COMPUTED_VALUE"""),0.0)</f>
        <v>0</v>
      </c>
      <c r="H279" s="7">
        <f>IFERROR(__xludf.DUMMYFUNCTION("""COMPUTED_VALUE"""),0.0)</f>
        <v>0</v>
      </c>
      <c r="I279" s="7">
        <f>IFERROR(__xludf.DUMMYFUNCTION("""COMPUTED_VALUE"""),0.0)</f>
        <v>0</v>
      </c>
      <c r="J279" s="7">
        <f>IFERROR(__xludf.DUMMYFUNCTION("""COMPUTED_VALUE"""),0.0)</f>
        <v>0</v>
      </c>
      <c r="K279" s="7">
        <f>IFERROR(__xludf.DUMMYFUNCTION("""COMPUTED_VALUE"""),0.0)</f>
        <v>0</v>
      </c>
      <c r="L279" s="7">
        <f>IFERROR(__xludf.DUMMYFUNCTION("""COMPUTED_VALUE"""),0.0)</f>
        <v>0</v>
      </c>
    </row>
    <row r="280" ht="15.75" customHeight="1">
      <c r="A280" s="5" t="s">
        <v>42</v>
      </c>
      <c r="C280" s="5" t="s">
        <v>21</v>
      </c>
      <c r="D280" s="5" t="s">
        <v>70</v>
      </c>
      <c r="F280" s="7">
        <f>IFERROR(__xludf.DUMMYFUNCTION("""COMPUTED_VALUE"""),0.0)</f>
        <v>0</v>
      </c>
      <c r="G280" s="7">
        <f>IFERROR(__xludf.DUMMYFUNCTION("""COMPUTED_VALUE"""),0.0)</f>
        <v>0</v>
      </c>
      <c r="H280" s="7">
        <f>IFERROR(__xludf.DUMMYFUNCTION("""COMPUTED_VALUE"""),0.0)</f>
        <v>0</v>
      </c>
      <c r="I280" s="7">
        <f>IFERROR(__xludf.DUMMYFUNCTION("""COMPUTED_VALUE"""),0.0)</f>
        <v>0</v>
      </c>
      <c r="J280" s="7">
        <f>IFERROR(__xludf.DUMMYFUNCTION("""COMPUTED_VALUE"""),0.0)</f>
        <v>0</v>
      </c>
      <c r="K280" s="7">
        <f>IFERROR(__xludf.DUMMYFUNCTION("""COMPUTED_VALUE"""),0.0)</f>
        <v>0</v>
      </c>
      <c r="L280" s="7">
        <f>IFERROR(__xludf.DUMMYFUNCTION("""COMPUTED_VALUE"""),0.0)</f>
        <v>0</v>
      </c>
    </row>
    <row r="281" ht="15.75" customHeight="1">
      <c r="A281" s="5" t="s">
        <v>42</v>
      </c>
      <c r="C281" s="5" t="s">
        <v>21</v>
      </c>
      <c r="D281" s="5" t="s">
        <v>73</v>
      </c>
      <c r="F281" s="7">
        <f>IFERROR(__xludf.DUMMYFUNCTION("""COMPUTED_VALUE"""),0.0)</f>
        <v>0</v>
      </c>
      <c r="G281" s="7">
        <f>IFERROR(__xludf.DUMMYFUNCTION("""COMPUTED_VALUE"""),0.0)</f>
        <v>0</v>
      </c>
      <c r="H281" s="7">
        <f>IFERROR(__xludf.DUMMYFUNCTION("""COMPUTED_VALUE"""),0.0)</f>
        <v>0</v>
      </c>
      <c r="I281" s="7">
        <f>IFERROR(__xludf.DUMMYFUNCTION("""COMPUTED_VALUE"""),0.0)</f>
        <v>0</v>
      </c>
      <c r="J281" s="7">
        <f>IFERROR(__xludf.DUMMYFUNCTION("""COMPUTED_VALUE"""),0.0)</f>
        <v>0</v>
      </c>
      <c r="K281" s="7">
        <f>IFERROR(__xludf.DUMMYFUNCTION("""COMPUTED_VALUE"""),0.0)</f>
        <v>0</v>
      </c>
      <c r="L281" s="7">
        <f>IFERROR(__xludf.DUMMYFUNCTION("""COMPUTED_VALUE"""),0.0)</f>
        <v>0</v>
      </c>
    </row>
    <row r="282" ht="15.75" customHeight="1">
      <c r="A282" s="5" t="s">
        <v>42</v>
      </c>
      <c r="C282" s="5" t="s">
        <v>21</v>
      </c>
      <c r="D282" s="5" t="s">
        <v>74</v>
      </c>
      <c r="F282" s="7">
        <f>IFERROR(__xludf.DUMMYFUNCTION("""COMPUTED_VALUE"""),0.0)</f>
        <v>0</v>
      </c>
      <c r="G282" s="7">
        <f>IFERROR(__xludf.DUMMYFUNCTION("""COMPUTED_VALUE"""),0.0)</f>
        <v>0</v>
      </c>
      <c r="H282" s="7">
        <f>IFERROR(__xludf.DUMMYFUNCTION("""COMPUTED_VALUE"""),0.0)</f>
        <v>0</v>
      </c>
      <c r="I282" s="7">
        <f>IFERROR(__xludf.DUMMYFUNCTION("""COMPUTED_VALUE"""),0.0)</f>
        <v>0</v>
      </c>
      <c r="J282" s="7">
        <f>IFERROR(__xludf.DUMMYFUNCTION("""COMPUTED_VALUE"""),0.0)</f>
        <v>0</v>
      </c>
      <c r="K282" s="7">
        <f>IFERROR(__xludf.DUMMYFUNCTION("""COMPUTED_VALUE"""),0.0)</f>
        <v>0</v>
      </c>
      <c r="L282" s="7">
        <f>IFERROR(__xludf.DUMMYFUNCTION("""COMPUTED_VALUE"""),0.0)</f>
        <v>0</v>
      </c>
    </row>
    <row r="283" ht="15.75" customHeight="1">
      <c r="A283" s="5" t="s">
        <v>42</v>
      </c>
      <c r="C283" s="5" t="s">
        <v>21</v>
      </c>
      <c r="D283" s="5" t="s">
        <v>75</v>
      </c>
      <c r="E283" s="5">
        <v>5.0</v>
      </c>
      <c r="F283" s="7">
        <f>IFERROR(__xludf.DUMMYFUNCTION("""COMPUTED_VALUE"""),100.0)</f>
        <v>100</v>
      </c>
      <c r="G283" s="7">
        <f>IFERROR(__xludf.DUMMYFUNCTION("""COMPUTED_VALUE"""),100.0)</f>
        <v>100</v>
      </c>
      <c r="H283" s="7">
        <f>IFERROR(__xludf.DUMMYFUNCTION("""COMPUTED_VALUE"""),100.0)</f>
        <v>100</v>
      </c>
      <c r="I283" s="7">
        <f>IFERROR(__xludf.DUMMYFUNCTION("""COMPUTED_VALUE"""),100.0)</f>
        <v>100</v>
      </c>
      <c r="J283" s="7">
        <f>IFERROR(__xludf.DUMMYFUNCTION("""COMPUTED_VALUE"""),100.0)</f>
        <v>100</v>
      </c>
      <c r="K283" s="7">
        <f>IFERROR(__xludf.DUMMYFUNCTION("""COMPUTED_VALUE"""),100.0)</f>
        <v>100</v>
      </c>
      <c r="L283" s="7">
        <f>IFERROR(__xludf.DUMMYFUNCTION("""COMPUTED_VALUE"""),100.0)</f>
        <v>100</v>
      </c>
    </row>
    <row r="284" ht="15.75" customHeight="1">
      <c r="A284" s="5" t="s">
        <v>42</v>
      </c>
      <c r="B284" s="5">
        <v>5.0</v>
      </c>
      <c r="C284" s="5" t="s">
        <v>48</v>
      </c>
      <c r="D284" s="8" t="s">
        <v>76</v>
      </c>
      <c r="E284" s="5">
        <v>10.0</v>
      </c>
      <c r="F284" s="5"/>
      <c r="G284" s="5"/>
      <c r="H284" s="5"/>
      <c r="I284" s="5"/>
      <c r="J284" s="5"/>
      <c r="K284" s="5"/>
      <c r="L284" s="5"/>
    </row>
    <row r="285" ht="15.75" customHeight="1">
      <c r="A285" s="5" t="s">
        <v>42</v>
      </c>
      <c r="C285" s="5" t="s">
        <v>21</v>
      </c>
      <c r="D285" s="5" t="s">
        <v>79</v>
      </c>
      <c r="E285" s="5">
        <v>0.5</v>
      </c>
      <c r="F285" s="7">
        <f>IFERROR(__xludf.DUMMYFUNCTION("""COMPUTED_VALUE"""),0.0)</f>
        <v>0</v>
      </c>
      <c r="G285" s="7">
        <f>IFERROR(__xludf.DUMMYFUNCTION("""COMPUTED_VALUE"""),0.0)</f>
        <v>0</v>
      </c>
      <c r="H285" s="7">
        <f>IFERROR(__xludf.DUMMYFUNCTION("""COMPUTED_VALUE"""),0.0)</f>
        <v>0</v>
      </c>
      <c r="I285" s="7">
        <f>IFERROR(__xludf.DUMMYFUNCTION("""COMPUTED_VALUE"""),0.0)</f>
        <v>0</v>
      </c>
      <c r="J285" s="7">
        <f>IFERROR(__xludf.DUMMYFUNCTION("""COMPUTED_VALUE"""),0.0)</f>
        <v>0</v>
      </c>
      <c r="K285" s="7">
        <f>IFERROR(__xludf.DUMMYFUNCTION("""COMPUTED_VALUE"""),0.0)</f>
        <v>0</v>
      </c>
      <c r="L285" s="7">
        <f>IFERROR(__xludf.DUMMYFUNCTION("""COMPUTED_VALUE"""),0.0)</f>
        <v>0</v>
      </c>
    </row>
    <row r="286" ht="15.75" customHeight="1">
      <c r="A286" s="5" t="s">
        <v>42</v>
      </c>
      <c r="C286" s="5" t="s">
        <v>21</v>
      </c>
      <c r="D286" s="5" t="s">
        <v>81</v>
      </c>
      <c r="E286" s="5">
        <v>1.5</v>
      </c>
      <c r="F286" s="7">
        <f>IFERROR(__xludf.DUMMYFUNCTION("""COMPUTED_VALUE"""),0.0)</f>
        <v>0</v>
      </c>
      <c r="G286" s="7">
        <f>IFERROR(__xludf.DUMMYFUNCTION("""COMPUTED_VALUE"""),0.0)</f>
        <v>0</v>
      </c>
      <c r="H286" s="7">
        <f>IFERROR(__xludf.DUMMYFUNCTION("""COMPUTED_VALUE"""),0.0)</f>
        <v>0</v>
      </c>
      <c r="I286" s="7">
        <f>IFERROR(__xludf.DUMMYFUNCTION("""COMPUTED_VALUE"""),0.0)</f>
        <v>0</v>
      </c>
      <c r="J286" s="7">
        <f>IFERROR(__xludf.DUMMYFUNCTION("""COMPUTED_VALUE"""),0.0)</f>
        <v>0</v>
      </c>
      <c r="K286" s="7">
        <f>IFERROR(__xludf.DUMMYFUNCTION("""COMPUTED_VALUE"""),0.0)</f>
        <v>0</v>
      </c>
      <c r="L286" s="7">
        <f>IFERROR(__xludf.DUMMYFUNCTION("""COMPUTED_VALUE"""),0.0)</f>
        <v>0</v>
      </c>
    </row>
    <row r="287" ht="15.75" customHeight="1">
      <c r="A287" s="5" t="s">
        <v>42</v>
      </c>
      <c r="C287" s="5" t="s">
        <v>21</v>
      </c>
      <c r="D287" s="5" t="s">
        <v>82</v>
      </c>
      <c r="E287" s="5">
        <v>2.0</v>
      </c>
      <c r="F287" s="7">
        <f>IFERROR(__xludf.DUMMYFUNCTION("""COMPUTED_VALUE"""),0.0)</f>
        <v>0</v>
      </c>
      <c r="G287" s="7">
        <f>IFERROR(__xludf.DUMMYFUNCTION("""COMPUTED_VALUE"""),0.0)</f>
        <v>0</v>
      </c>
      <c r="H287" s="7">
        <f>IFERROR(__xludf.DUMMYFUNCTION("""COMPUTED_VALUE"""),0.0)</f>
        <v>0</v>
      </c>
      <c r="I287" s="7">
        <f>IFERROR(__xludf.DUMMYFUNCTION("""COMPUTED_VALUE"""),0.0)</f>
        <v>0</v>
      </c>
      <c r="J287" s="7">
        <f>IFERROR(__xludf.DUMMYFUNCTION("""COMPUTED_VALUE"""),0.0)</f>
        <v>0</v>
      </c>
      <c r="K287" s="7">
        <f>IFERROR(__xludf.DUMMYFUNCTION("""COMPUTED_VALUE"""),0.0)</f>
        <v>0</v>
      </c>
      <c r="L287" s="7">
        <f>IFERROR(__xludf.DUMMYFUNCTION("""COMPUTED_VALUE"""),0.0)</f>
        <v>0</v>
      </c>
    </row>
    <row r="288" ht="15.75" customHeight="1">
      <c r="A288" s="5" t="s">
        <v>42</v>
      </c>
      <c r="C288" s="5" t="s">
        <v>21</v>
      </c>
      <c r="D288" s="5" t="s">
        <v>83</v>
      </c>
      <c r="E288" s="5">
        <v>4.0</v>
      </c>
      <c r="F288" s="7">
        <f>IFERROR(__xludf.DUMMYFUNCTION("""COMPUTED_VALUE"""),100.0)</f>
        <v>100</v>
      </c>
      <c r="G288" s="7">
        <f>IFERROR(__xludf.DUMMYFUNCTION("""COMPUTED_VALUE"""),0.0)</f>
        <v>0</v>
      </c>
      <c r="H288" s="7">
        <f>IFERROR(__xludf.DUMMYFUNCTION("""COMPUTED_VALUE"""),0.0)</f>
        <v>0</v>
      </c>
      <c r="I288" s="7">
        <f>IFERROR(__xludf.DUMMYFUNCTION("""COMPUTED_VALUE"""),100.0)</f>
        <v>100</v>
      </c>
      <c r="J288" s="7">
        <f>IFERROR(__xludf.DUMMYFUNCTION("""COMPUTED_VALUE"""),0.0)</f>
        <v>0</v>
      </c>
      <c r="K288" s="7">
        <f>IFERROR(__xludf.DUMMYFUNCTION("""COMPUTED_VALUE"""),100.0)</f>
        <v>100</v>
      </c>
      <c r="L288" s="7">
        <f>IFERROR(__xludf.DUMMYFUNCTION("""COMPUTED_VALUE"""),0.0)</f>
        <v>0</v>
      </c>
    </row>
    <row r="289" ht="15.75" customHeight="1">
      <c r="A289" s="5" t="s">
        <v>42</v>
      </c>
      <c r="C289" s="5" t="s">
        <v>21</v>
      </c>
      <c r="D289" s="5" t="s">
        <v>84</v>
      </c>
      <c r="E289" s="5">
        <v>2.0</v>
      </c>
      <c r="F289" s="7">
        <f>IFERROR(__xludf.DUMMYFUNCTION("""COMPUTED_VALUE"""),100.0)</f>
        <v>100</v>
      </c>
      <c r="G289" s="7">
        <f>IFERROR(__xludf.DUMMYFUNCTION("""COMPUTED_VALUE"""),0.0)</f>
        <v>0</v>
      </c>
      <c r="H289" s="7">
        <f>IFERROR(__xludf.DUMMYFUNCTION("""COMPUTED_VALUE"""),0.0)</f>
        <v>0</v>
      </c>
      <c r="I289" s="7">
        <f>IFERROR(__xludf.DUMMYFUNCTION("""COMPUTED_VALUE"""),100.0)</f>
        <v>100</v>
      </c>
      <c r="J289" s="7">
        <f>IFERROR(__xludf.DUMMYFUNCTION("""COMPUTED_VALUE"""),0.0)</f>
        <v>0</v>
      </c>
      <c r="K289" s="7">
        <f>IFERROR(__xludf.DUMMYFUNCTION("""COMPUTED_VALUE"""),100.0)</f>
        <v>100</v>
      </c>
      <c r="L289" s="7">
        <f>IFERROR(__xludf.DUMMYFUNCTION("""COMPUTED_VALUE"""),0.0)</f>
        <v>0</v>
      </c>
    </row>
    <row r="290" ht="15.75" customHeight="1">
      <c r="A290" s="5" t="s">
        <v>42</v>
      </c>
      <c r="B290" s="5">
        <v>6.0</v>
      </c>
      <c r="C290" s="5" t="s">
        <v>48</v>
      </c>
      <c r="D290" s="8" t="s">
        <v>85</v>
      </c>
      <c r="E290" s="5">
        <v>8.0</v>
      </c>
      <c r="F290" s="5"/>
      <c r="G290" s="5"/>
      <c r="H290" s="5"/>
      <c r="I290" s="5"/>
      <c r="J290" s="5"/>
      <c r="K290" s="5"/>
      <c r="L290" s="5"/>
    </row>
    <row r="291" ht="15.75" customHeight="1">
      <c r="A291" s="5" t="s">
        <v>42</v>
      </c>
      <c r="C291" s="5" t="s">
        <v>21</v>
      </c>
      <c r="D291" s="5" t="s">
        <v>86</v>
      </c>
      <c r="E291" s="5">
        <v>2.0</v>
      </c>
      <c r="F291" s="7">
        <f>IFERROR(__xludf.DUMMYFUNCTION("""COMPUTED_VALUE"""),0.0)</f>
        <v>0</v>
      </c>
      <c r="G291" s="7">
        <f>IFERROR(__xludf.DUMMYFUNCTION("""COMPUTED_VALUE"""),100.0)</f>
        <v>100</v>
      </c>
      <c r="H291" s="7">
        <f>IFERROR(__xludf.DUMMYFUNCTION("""COMPUTED_VALUE"""),100.0)</f>
        <v>100</v>
      </c>
      <c r="I291" s="7">
        <f>IFERROR(__xludf.DUMMYFUNCTION("""COMPUTED_VALUE"""),50.0)</f>
        <v>50</v>
      </c>
      <c r="J291" s="7">
        <f>IFERROR(__xludf.DUMMYFUNCTION("""COMPUTED_VALUE"""),100.0)</f>
        <v>100</v>
      </c>
      <c r="K291" s="7">
        <f>IFERROR(__xludf.DUMMYFUNCTION("""COMPUTED_VALUE"""),100.0)</f>
        <v>100</v>
      </c>
      <c r="L291" s="7">
        <f>IFERROR(__xludf.DUMMYFUNCTION("""COMPUTED_VALUE"""),100.0)</f>
        <v>100</v>
      </c>
    </row>
    <row r="292" ht="15.75" customHeight="1">
      <c r="A292" s="5" t="s">
        <v>42</v>
      </c>
      <c r="C292" s="5" t="s">
        <v>21</v>
      </c>
      <c r="D292" s="5" t="s">
        <v>87</v>
      </c>
      <c r="E292" s="5">
        <v>2.0</v>
      </c>
      <c r="F292" s="7">
        <f>IFERROR(__xludf.DUMMYFUNCTION("""COMPUTED_VALUE"""),129.66666666666666)</f>
        <v>129.6666667</v>
      </c>
      <c r="G292" s="7">
        <f>IFERROR(__xludf.DUMMYFUNCTION("""COMPUTED_VALUE"""),133.03333333333333)</f>
        <v>133.0333333</v>
      </c>
      <c r="H292" s="7">
        <f>IFERROR(__xludf.DUMMYFUNCTION("""COMPUTED_VALUE"""),118.83333333333333)</f>
        <v>118.8333333</v>
      </c>
      <c r="I292" s="7">
        <f>IFERROR(__xludf.DUMMYFUNCTION("""COMPUTED_VALUE"""),126.93333333333334)</f>
        <v>126.9333333</v>
      </c>
      <c r="J292" s="7">
        <f>IFERROR(__xludf.DUMMYFUNCTION("""COMPUTED_VALUE"""),129.6)</f>
        <v>129.6</v>
      </c>
      <c r="K292" s="7">
        <f>IFERROR(__xludf.DUMMYFUNCTION("""COMPUTED_VALUE"""),129.33333333333334)</f>
        <v>129.3333333</v>
      </c>
      <c r="L292" s="7">
        <f>IFERROR(__xludf.DUMMYFUNCTION("""COMPUTED_VALUE"""),118.16666666666666)</f>
        <v>118.1666667</v>
      </c>
    </row>
    <row r="293" ht="15.75" customHeight="1">
      <c r="A293" s="5" t="s">
        <v>42</v>
      </c>
      <c r="C293" s="5" t="s">
        <v>21</v>
      </c>
      <c r="D293" s="5" t="s">
        <v>88</v>
      </c>
      <c r="E293" s="5">
        <v>2.0</v>
      </c>
      <c r="F293" s="7">
        <f>IFERROR(__xludf.DUMMYFUNCTION("""COMPUTED_VALUE"""),235.61106127197834)</f>
        <v>235.6110613</v>
      </c>
      <c r="G293" s="7">
        <f>IFERROR(__xludf.DUMMYFUNCTION("""COMPUTED_VALUE"""),179.5065921877908)</f>
        <v>179.5065922</v>
      </c>
      <c r="H293" s="7">
        <f>IFERROR(__xludf.DUMMYFUNCTION("""COMPUTED_VALUE"""),189.2190458070609)</f>
        <v>189.2190458</v>
      </c>
      <c r="I293" s="7">
        <f>IFERROR(__xludf.DUMMYFUNCTION("""COMPUTED_VALUE"""),176.0732992059799)</f>
        <v>176.0732992</v>
      </c>
      <c r="J293" s="7">
        <f>IFERROR(__xludf.DUMMYFUNCTION("""COMPUTED_VALUE"""),153.75365792878614)</f>
        <v>153.7536579</v>
      </c>
      <c r="K293" s="7">
        <f>IFERROR(__xludf.DUMMYFUNCTION("""COMPUTED_VALUE"""),198.1345071250828)</f>
        <v>198.1345071</v>
      </c>
      <c r="L293" s="7">
        <f>IFERROR(__xludf.DUMMYFUNCTION("""COMPUTED_VALUE"""),117.39805903447986)</f>
        <v>117.398059</v>
      </c>
    </row>
    <row r="294" ht="15.75" customHeight="1">
      <c r="A294" s="5" t="s">
        <v>42</v>
      </c>
      <c r="C294" s="5" t="s">
        <v>21</v>
      </c>
      <c r="D294" s="5" t="s">
        <v>89</v>
      </c>
      <c r="E294" s="5">
        <v>1.2</v>
      </c>
      <c r="F294" s="7">
        <f>IFERROR(__xludf.DUMMYFUNCTION("""COMPUTED_VALUE"""),0.0)</f>
        <v>0</v>
      </c>
      <c r="G294" s="7">
        <f>IFERROR(__xludf.DUMMYFUNCTION("""COMPUTED_VALUE"""),0.0)</f>
        <v>0</v>
      </c>
      <c r="H294" s="7">
        <f>IFERROR(__xludf.DUMMYFUNCTION("""COMPUTED_VALUE"""),0.0)</f>
        <v>0</v>
      </c>
      <c r="I294" s="7">
        <f>IFERROR(__xludf.DUMMYFUNCTION("""COMPUTED_VALUE"""),0.0)</f>
        <v>0</v>
      </c>
      <c r="J294" s="7">
        <f>IFERROR(__xludf.DUMMYFUNCTION("""COMPUTED_VALUE"""),0.0)</f>
        <v>0</v>
      </c>
      <c r="K294" s="7">
        <f>IFERROR(__xludf.DUMMYFUNCTION("""COMPUTED_VALUE"""),0.0)</f>
        <v>0</v>
      </c>
      <c r="L294" s="7">
        <f>IFERROR(__xludf.DUMMYFUNCTION("""COMPUTED_VALUE"""),0.0)</f>
        <v>0</v>
      </c>
    </row>
    <row r="295" ht="15.75" customHeight="1">
      <c r="A295" s="5" t="s">
        <v>42</v>
      </c>
      <c r="C295" s="5" t="s">
        <v>21</v>
      </c>
      <c r="D295" s="5" t="s">
        <v>92</v>
      </c>
      <c r="E295" s="5">
        <v>0.8</v>
      </c>
      <c r="F295" s="7">
        <f>IFERROR(__xludf.DUMMYFUNCTION("""COMPUTED_VALUE"""),0.0)</f>
        <v>0</v>
      </c>
      <c r="G295" s="7">
        <f>IFERROR(__xludf.DUMMYFUNCTION("""COMPUTED_VALUE"""),0.0)</f>
        <v>0</v>
      </c>
      <c r="H295" s="7">
        <f>IFERROR(__xludf.DUMMYFUNCTION("""COMPUTED_VALUE"""),0.0)</f>
        <v>0</v>
      </c>
      <c r="I295" s="7">
        <f>IFERROR(__xludf.DUMMYFUNCTION("""COMPUTED_VALUE"""),0.0)</f>
        <v>0</v>
      </c>
      <c r="J295" s="7">
        <f>IFERROR(__xludf.DUMMYFUNCTION("""COMPUTED_VALUE"""),0.0)</f>
        <v>0</v>
      </c>
      <c r="K295" s="7">
        <f>IFERROR(__xludf.DUMMYFUNCTION("""COMPUTED_VALUE"""),0.0)</f>
        <v>0</v>
      </c>
      <c r="L295" s="7">
        <f>IFERROR(__xludf.DUMMYFUNCTION("""COMPUTED_VALUE"""),0.0)</f>
        <v>0</v>
      </c>
    </row>
    <row r="296" ht="15.75" customHeight="1">
      <c r="A296" s="5" t="s">
        <v>42</v>
      </c>
      <c r="B296" s="5">
        <v>7.0</v>
      </c>
      <c r="C296" s="5" t="s">
        <v>48</v>
      </c>
      <c r="D296" s="8" t="s">
        <v>94</v>
      </c>
      <c r="E296" s="5">
        <v>7.0</v>
      </c>
      <c r="F296" s="5"/>
      <c r="G296" s="5"/>
      <c r="H296" s="5"/>
      <c r="I296" s="5"/>
      <c r="J296" s="5"/>
      <c r="K296" s="5"/>
      <c r="L296" s="5"/>
    </row>
    <row r="297" ht="15.75" customHeight="1">
      <c r="A297" s="5" t="s">
        <v>42</v>
      </c>
      <c r="C297" s="5" t="s">
        <v>21</v>
      </c>
      <c r="D297" s="5" t="s">
        <v>95</v>
      </c>
      <c r="E297" s="5">
        <v>5.0</v>
      </c>
      <c r="F297" s="7">
        <f>IFERROR(__xludf.DUMMYFUNCTION("""COMPUTED_VALUE"""),129.54545454545453)</f>
        <v>129.5454545</v>
      </c>
      <c r="G297" s="7">
        <f>IFERROR(__xludf.DUMMYFUNCTION("""COMPUTED_VALUE"""),140.65934065934064)</f>
        <v>140.6593407</v>
      </c>
      <c r="H297" s="7">
        <f>IFERROR(__xludf.DUMMYFUNCTION("""COMPUTED_VALUE"""),134.25414364640883)</f>
        <v>134.2541436</v>
      </c>
      <c r="I297" s="7">
        <f>IFERROR(__xludf.DUMMYFUNCTION("""COMPUTED_VALUE"""),142.16867469879517)</f>
        <v>142.1686747</v>
      </c>
      <c r="J297" s="7">
        <f>IFERROR(__xludf.DUMMYFUNCTION("""COMPUTED_VALUE"""),137.43589743589743)</f>
        <v>137.4358974</v>
      </c>
      <c r="K297" s="7">
        <f>IFERROR(__xludf.DUMMYFUNCTION("""COMPUTED_VALUE"""),143.0939226519337)</f>
        <v>143.0939227</v>
      </c>
      <c r="L297" s="7">
        <f>IFERROR(__xludf.DUMMYFUNCTION("""COMPUTED_VALUE"""),145.96774193548387)</f>
        <v>145.9677419</v>
      </c>
    </row>
    <row r="298" ht="15.75" customHeight="1">
      <c r="A298" s="5" t="s">
        <v>42</v>
      </c>
      <c r="C298" s="5" t="s">
        <v>21</v>
      </c>
      <c r="D298" s="5" t="s">
        <v>96</v>
      </c>
      <c r="E298" s="5">
        <v>2.0</v>
      </c>
      <c r="F298" s="7">
        <f>IFERROR(__xludf.DUMMYFUNCTION("""COMPUTED_VALUE"""),100.0)</f>
        <v>100</v>
      </c>
      <c r="G298" s="7">
        <f>IFERROR(__xludf.DUMMYFUNCTION("""COMPUTED_VALUE"""),133.33333333333334)</f>
        <v>133.3333333</v>
      </c>
      <c r="H298" s="7">
        <f>IFERROR(__xludf.DUMMYFUNCTION("""COMPUTED_VALUE"""),133.33333333333334)</f>
        <v>133.3333333</v>
      </c>
      <c r="I298" s="7">
        <f>IFERROR(__xludf.DUMMYFUNCTION("""COMPUTED_VALUE"""),150.0)</f>
        <v>150</v>
      </c>
      <c r="J298" s="7">
        <f>IFERROR(__xludf.DUMMYFUNCTION("""COMPUTED_VALUE"""),125.0)</f>
        <v>125</v>
      </c>
      <c r="K298" s="7">
        <f>IFERROR(__xludf.DUMMYFUNCTION("""COMPUTED_VALUE"""),140.0)</f>
        <v>140</v>
      </c>
      <c r="L298" s="7">
        <f>IFERROR(__xludf.DUMMYFUNCTION("""COMPUTED_VALUE"""),120.0)</f>
        <v>120</v>
      </c>
    </row>
    <row r="299" ht="15.75" customHeight="1">
      <c r="A299" s="5" t="s">
        <v>42</v>
      </c>
      <c r="B299" s="5">
        <v>8.0</v>
      </c>
      <c r="C299" s="5" t="s">
        <v>48</v>
      </c>
      <c r="D299" s="8" t="s">
        <v>97</v>
      </c>
      <c r="E299" s="5">
        <v>8.0</v>
      </c>
      <c r="F299" s="5"/>
      <c r="G299" s="5"/>
      <c r="H299" s="5"/>
      <c r="I299" s="5"/>
      <c r="J299" s="5"/>
      <c r="K299" s="5"/>
      <c r="L299" s="5"/>
    </row>
    <row r="300" ht="15.75" customHeight="1">
      <c r="A300" s="5" t="s">
        <v>42</v>
      </c>
      <c r="C300" s="5" t="s">
        <v>21</v>
      </c>
      <c r="D300" s="5" t="s">
        <v>98</v>
      </c>
      <c r="E300" s="5">
        <v>6.0</v>
      </c>
      <c r="F300" s="7">
        <f>IFERROR(__xludf.DUMMYFUNCTION("""COMPUTED_VALUE"""),110.00000000000001)</f>
        <v>110</v>
      </c>
      <c r="G300" s="7">
        <f>IFERROR(__xludf.DUMMYFUNCTION("""COMPUTED_VALUE"""),110.00000000000001)</f>
        <v>110</v>
      </c>
      <c r="H300" s="7">
        <f>IFERROR(__xludf.DUMMYFUNCTION("""COMPUTED_VALUE"""),110.00000000000001)</f>
        <v>110</v>
      </c>
      <c r="I300" s="7">
        <f>IFERROR(__xludf.DUMMYFUNCTION("""COMPUTED_VALUE"""),110.00000000000001)</f>
        <v>110</v>
      </c>
      <c r="J300" s="7">
        <f>IFERROR(__xludf.DUMMYFUNCTION("""COMPUTED_VALUE"""),110.00000000000001)</f>
        <v>110</v>
      </c>
      <c r="K300" s="7">
        <f>IFERROR(__xludf.DUMMYFUNCTION("""COMPUTED_VALUE"""),110.00000000000001)</f>
        <v>110</v>
      </c>
      <c r="L300" s="7">
        <f>IFERROR(__xludf.DUMMYFUNCTION("""COMPUTED_VALUE"""),106.44345351473923)</f>
        <v>106.4434535</v>
      </c>
    </row>
    <row r="301" ht="15.75" customHeight="1">
      <c r="A301" s="5" t="s">
        <v>42</v>
      </c>
      <c r="C301" s="5" t="s">
        <v>21</v>
      </c>
      <c r="D301" s="5" t="s">
        <v>99</v>
      </c>
      <c r="E301" s="5">
        <v>2.0</v>
      </c>
      <c r="F301" s="7">
        <f>IFERROR(__xludf.DUMMYFUNCTION("""COMPUTED_VALUE"""),110.00000000000001)</f>
        <v>110</v>
      </c>
      <c r="G301" s="7">
        <f>IFERROR(__xludf.DUMMYFUNCTION("""COMPUTED_VALUE"""),110.00000000000001)</f>
        <v>110</v>
      </c>
      <c r="H301" s="7">
        <f>IFERROR(__xludf.DUMMYFUNCTION("""COMPUTED_VALUE"""),110.00000000000001)</f>
        <v>110</v>
      </c>
      <c r="I301" s="7">
        <f>IFERROR(__xludf.DUMMYFUNCTION("""COMPUTED_VALUE"""),110.00000000000001)</f>
        <v>110</v>
      </c>
      <c r="J301" s="7">
        <f>IFERROR(__xludf.DUMMYFUNCTION("""COMPUTED_VALUE"""),110.00000000000001)</f>
        <v>110</v>
      </c>
      <c r="K301" s="7">
        <f>IFERROR(__xludf.DUMMYFUNCTION("""COMPUTED_VALUE"""),110.00000000000001)</f>
        <v>110</v>
      </c>
      <c r="L301" s="7">
        <f>IFERROR(__xludf.DUMMYFUNCTION("""COMPUTED_VALUE"""),110.00000000000001)</f>
        <v>110</v>
      </c>
    </row>
    <row r="302" ht="15.75" customHeight="1">
      <c r="A302" s="5" t="s">
        <v>42</v>
      </c>
      <c r="B302" s="5">
        <v>9.0</v>
      </c>
      <c r="C302" s="5" t="s">
        <v>48</v>
      </c>
      <c r="D302" s="8" t="s">
        <v>101</v>
      </c>
      <c r="E302" s="5">
        <v>6.0</v>
      </c>
      <c r="F302" s="5"/>
      <c r="G302" s="5"/>
      <c r="H302" s="5"/>
      <c r="I302" s="5"/>
      <c r="J302" s="5"/>
      <c r="K302" s="5"/>
      <c r="L302" s="5"/>
    </row>
    <row r="303" ht="15.75" customHeight="1">
      <c r="A303" s="5" t="s">
        <v>42</v>
      </c>
      <c r="C303" s="5" t="s">
        <v>21</v>
      </c>
      <c r="D303" s="5" t="s">
        <v>102</v>
      </c>
      <c r="E303" s="5">
        <v>2.0</v>
      </c>
      <c r="F303" s="7">
        <f>IFERROR(__xludf.DUMMYFUNCTION("""COMPUTED_VALUE"""),713.6108875678343)</f>
        <v>713.6108876</v>
      </c>
      <c r="G303" s="7">
        <f>IFERROR(__xludf.DUMMYFUNCTION("""COMPUTED_VALUE"""),497.9714604834732)</f>
        <v>497.9714605</v>
      </c>
      <c r="H303" s="7">
        <f>IFERROR(__xludf.DUMMYFUNCTION("""COMPUTED_VALUE"""),743.9930748889984)</f>
        <v>743.9930749</v>
      </c>
      <c r="I303" s="7">
        <f>IFERROR(__xludf.DUMMYFUNCTION("""COMPUTED_VALUE"""),406.08386956092744)</f>
        <v>406.0838696</v>
      </c>
      <c r="J303" s="7">
        <f>IFERROR(__xludf.DUMMYFUNCTION("""COMPUTED_VALUE"""),258.61910670942285)</f>
        <v>258.6191067</v>
      </c>
      <c r="K303" s="7">
        <f>IFERROR(__xludf.DUMMYFUNCTION("""COMPUTED_VALUE"""),224.5317745929946)</f>
        <v>224.5317746</v>
      </c>
      <c r="L303" s="7">
        <f>IFERROR(__xludf.DUMMYFUNCTION("""COMPUTED_VALUE"""),159.32122619634927)</f>
        <v>159.3212262</v>
      </c>
    </row>
    <row r="304" ht="15.75" customHeight="1">
      <c r="A304" s="5" t="s">
        <v>42</v>
      </c>
      <c r="C304" s="5" t="s">
        <v>21</v>
      </c>
      <c r="D304" s="5" t="s">
        <v>103</v>
      </c>
      <c r="E304" s="5">
        <v>2.0</v>
      </c>
      <c r="F304" s="7">
        <f>IFERROR(__xludf.DUMMYFUNCTION("""COMPUTED_VALUE"""),0.0)</f>
        <v>0</v>
      </c>
      <c r="G304" s="7">
        <f>IFERROR(__xludf.DUMMYFUNCTION("""COMPUTED_VALUE"""),0.0)</f>
        <v>0</v>
      </c>
      <c r="H304" s="7">
        <f>IFERROR(__xludf.DUMMYFUNCTION("""COMPUTED_VALUE"""),0.0)</f>
        <v>0</v>
      </c>
      <c r="I304" s="7">
        <f>IFERROR(__xludf.DUMMYFUNCTION("""COMPUTED_VALUE"""),0.0)</f>
        <v>0</v>
      </c>
      <c r="J304" s="7">
        <f>IFERROR(__xludf.DUMMYFUNCTION("""COMPUTED_VALUE"""),0.0)</f>
        <v>0</v>
      </c>
      <c r="K304" s="7">
        <f>IFERROR(__xludf.DUMMYFUNCTION("""COMPUTED_VALUE"""),0.0)</f>
        <v>0</v>
      </c>
      <c r="L304" s="7">
        <f>IFERROR(__xludf.DUMMYFUNCTION("""COMPUTED_VALUE"""),0.0)</f>
        <v>0</v>
      </c>
    </row>
    <row r="305" ht="15.75" customHeight="1">
      <c r="A305" s="5" t="s">
        <v>42</v>
      </c>
      <c r="C305" s="5" t="s">
        <v>21</v>
      </c>
      <c r="D305" s="5" t="s">
        <v>104</v>
      </c>
      <c r="E305" s="5">
        <v>2.0</v>
      </c>
      <c r="F305" s="7">
        <f>IFERROR(__xludf.DUMMYFUNCTION("""COMPUTED_VALUE"""),0.0)</f>
        <v>0</v>
      </c>
      <c r="G305" s="7">
        <f>IFERROR(__xludf.DUMMYFUNCTION("""COMPUTED_VALUE"""),0.0)</f>
        <v>0</v>
      </c>
      <c r="H305" s="7">
        <f>IFERROR(__xludf.DUMMYFUNCTION("""COMPUTED_VALUE"""),0.0)</f>
        <v>0</v>
      </c>
      <c r="I305" s="7">
        <f>IFERROR(__xludf.DUMMYFUNCTION("""COMPUTED_VALUE"""),0.0)</f>
        <v>0</v>
      </c>
      <c r="J305" s="7">
        <f>IFERROR(__xludf.DUMMYFUNCTION("""COMPUTED_VALUE"""),0.0)</f>
        <v>0</v>
      </c>
      <c r="K305" s="7">
        <f>IFERROR(__xludf.DUMMYFUNCTION("""COMPUTED_VALUE"""),0.0)</f>
        <v>0</v>
      </c>
      <c r="L305" s="7">
        <f>IFERROR(__xludf.DUMMYFUNCTION("""COMPUTED_VALUE"""),0.0)</f>
        <v>0</v>
      </c>
    </row>
    <row r="306" ht="15.75" customHeight="1">
      <c r="A306" s="5" t="s">
        <v>42</v>
      </c>
      <c r="B306" s="5">
        <v>10.0</v>
      </c>
      <c r="C306" s="5" t="s">
        <v>48</v>
      </c>
      <c r="D306" s="8" t="s">
        <v>107</v>
      </c>
      <c r="E306" s="5">
        <v>7.0</v>
      </c>
      <c r="F306" s="5"/>
      <c r="G306" s="5"/>
      <c r="H306" s="5"/>
      <c r="I306" s="5"/>
      <c r="J306" s="5"/>
      <c r="K306" s="5"/>
      <c r="L306" s="5"/>
    </row>
    <row r="307" ht="15.75" customHeight="1">
      <c r="A307" s="5" t="s">
        <v>42</v>
      </c>
      <c r="C307" s="5" t="s">
        <v>21</v>
      </c>
      <c r="D307" s="5" t="s">
        <v>108</v>
      </c>
      <c r="E307" s="5">
        <v>3.0</v>
      </c>
      <c r="F307" s="7">
        <f>IFERROR(__xludf.DUMMYFUNCTION("""COMPUTED_VALUE"""),87.17676327620568)</f>
        <v>87.17676328</v>
      </c>
      <c r="G307" s="7">
        <f>IFERROR(__xludf.DUMMYFUNCTION("""COMPUTED_VALUE"""),60.67574380337588)</f>
        <v>60.6757438</v>
      </c>
      <c r="H307" s="7">
        <f>IFERROR(__xludf.DUMMYFUNCTION("""COMPUTED_VALUE"""),115.3725279130119)</f>
        <v>115.3725279</v>
      </c>
      <c r="I307" s="7">
        <f>IFERROR(__xludf.DUMMYFUNCTION("""COMPUTED_VALUE"""),60.18616332483677)</f>
        <v>60.18616332</v>
      </c>
      <c r="J307" s="7">
        <f>IFERROR(__xludf.DUMMYFUNCTION("""COMPUTED_VALUE"""),118.20590143153538)</f>
        <v>118.2059014</v>
      </c>
      <c r="K307" s="7">
        <f>IFERROR(__xludf.DUMMYFUNCTION("""COMPUTED_VALUE"""),43.76675471475594)</f>
        <v>43.76675471</v>
      </c>
      <c r="L307" s="7">
        <f>IFERROR(__xludf.DUMMYFUNCTION("""COMPUTED_VALUE"""),103.710293017315)</f>
        <v>103.710293</v>
      </c>
    </row>
    <row r="308" ht="15.75" customHeight="1">
      <c r="A308" s="5" t="s">
        <v>42</v>
      </c>
      <c r="C308" s="5" t="s">
        <v>21</v>
      </c>
      <c r="D308" s="5" t="s">
        <v>109</v>
      </c>
      <c r="E308" s="5">
        <v>2.0</v>
      </c>
      <c r="F308" s="7">
        <f>IFERROR(__xludf.DUMMYFUNCTION("""COMPUTED_VALUE"""),100.42771599657827)</f>
        <v>100.427716</v>
      </c>
      <c r="G308" s="7">
        <f>IFERROR(__xludf.DUMMYFUNCTION("""COMPUTED_VALUE"""),107.56756756756755)</f>
        <v>107.5675676</v>
      </c>
      <c r="H308" s="7">
        <f>IFERROR(__xludf.DUMMYFUNCTION("""COMPUTED_VALUE"""),157.353579175705)</f>
        <v>157.3535792</v>
      </c>
      <c r="I308" s="7">
        <f>IFERROR(__xludf.DUMMYFUNCTION("""COMPUTED_VALUE"""),128.70012870012872)</f>
        <v>128.7001287</v>
      </c>
      <c r="J308" s="7">
        <f>IFERROR(__xludf.DUMMYFUNCTION("""COMPUTED_VALUE"""),116.22992392223162)</f>
        <v>116.2299239</v>
      </c>
      <c r="K308" s="7">
        <f>IFERROR(__xludf.DUMMYFUNCTION("""COMPUTED_VALUE"""),125.23461939520332)</f>
        <v>125.2346194</v>
      </c>
      <c r="L308" s="7">
        <f>IFERROR(__xludf.DUMMYFUNCTION("""COMPUTED_VALUE"""),106.9767441860465)</f>
        <v>106.9767442</v>
      </c>
    </row>
    <row r="309" ht="15.75" customHeight="1">
      <c r="A309" s="5" t="s">
        <v>42</v>
      </c>
      <c r="C309" s="5" t="s">
        <v>21</v>
      </c>
      <c r="D309" s="5" t="s">
        <v>110</v>
      </c>
      <c r="E309" s="5">
        <v>2.0</v>
      </c>
      <c r="F309" s="7">
        <f>IFERROR(__xludf.DUMMYFUNCTION("""COMPUTED_VALUE"""),100.0)</f>
        <v>100</v>
      </c>
      <c r="G309" s="7">
        <f>IFERROR(__xludf.DUMMYFUNCTION("""COMPUTED_VALUE"""),100.0)</f>
        <v>100</v>
      </c>
      <c r="H309" s="7">
        <f>IFERROR(__xludf.DUMMYFUNCTION("""COMPUTED_VALUE"""),100.0)</f>
        <v>100</v>
      </c>
      <c r="I309" s="7">
        <f>IFERROR(__xludf.DUMMYFUNCTION("""COMPUTED_VALUE"""),100.0)</f>
        <v>100</v>
      </c>
      <c r="J309" s="7">
        <f>IFERROR(__xludf.DUMMYFUNCTION("""COMPUTED_VALUE"""),100.0)</f>
        <v>100</v>
      </c>
      <c r="K309" s="7">
        <f>IFERROR(__xludf.DUMMYFUNCTION("""COMPUTED_VALUE"""),100.0)</f>
        <v>100</v>
      </c>
      <c r="L309" s="7">
        <f>IFERROR(__xludf.DUMMYFUNCTION("""COMPUTED_VALUE"""),100.0)</f>
        <v>100</v>
      </c>
    </row>
    <row r="310" ht="15.75" customHeight="1">
      <c r="A310" s="5" t="s">
        <v>42</v>
      </c>
      <c r="B310" s="15">
        <v>11.0</v>
      </c>
      <c r="C310" s="5" t="s">
        <v>48</v>
      </c>
      <c r="D310" s="8" t="s">
        <v>111</v>
      </c>
      <c r="E310" s="15">
        <v>4.0</v>
      </c>
      <c r="F310" s="5"/>
      <c r="G310" s="5"/>
      <c r="H310" s="5"/>
      <c r="I310" s="5"/>
      <c r="J310" s="5"/>
      <c r="K310" s="5"/>
      <c r="L310" s="5"/>
    </row>
    <row r="311" ht="15.75" customHeight="1">
      <c r="A311" s="5" t="s">
        <v>42</v>
      </c>
      <c r="C311" s="5" t="b">
        <v>0</v>
      </c>
      <c r="D311" s="15" t="s">
        <v>112</v>
      </c>
      <c r="E311" s="15">
        <v>2.0</v>
      </c>
      <c r="F311" s="7">
        <f>IFERROR(__xludf.DUMMYFUNCTION("""COMPUTED_VALUE"""),0.0)</f>
        <v>0</v>
      </c>
      <c r="G311" s="7">
        <f>IFERROR(__xludf.DUMMYFUNCTION("""COMPUTED_VALUE"""),0.0)</f>
        <v>0</v>
      </c>
      <c r="H311" s="7">
        <f>IFERROR(__xludf.DUMMYFUNCTION("""COMPUTED_VALUE"""),0.0)</f>
        <v>0</v>
      </c>
      <c r="I311" s="7">
        <f>IFERROR(__xludf.DUMMYFUNCTION("""COMPUTED_VALUE"""),0.0)</f>
        <v>0</v>
      </c>
      <c r="J311" s="7">
        <f>IFERROR(__xludf.DUMMYFUNCTION("""COMPUTED_VALUE"""),0.0)</f>
        <v>0</v>
      </c>
      <c r="K311" s="7">
        <f>IFERROR(__xludf.DUMMYFUNCTION("""COMPUTED_VALUE"""),0.0)</f>
        <v>0</v>
      </c>
      <c r="L311" s="7">
        <f>IFERROR(__xludf.DUMMYFUNCTION("""COMPUTED_VALUE"""),0.0)</f>
        <v>0</v>
      </c>
    </row>
    <row r="312" ht="15.75" customHeight="1">
      <c r="A312" s="5" t="s">
        <v>42</v>
      </c>
      <c r="C312" s="5" t="s">
        <v>21</v>
      </c>
      <c r="D312" s="15" t="s">
        <v>113</v>
      </c>
      <c r="E312" s="15">
        <v>2.0</v>
      </c>
      <c r="F312" s="7">
        <f>IFERROR(__xludf.DUMMYFUNCTION("""COMPUTED_VALUE"""),100.0)</f>
        <v>100</v>
      </c>
      <c r="G312" s="7">
        <f>IFERROR(__xludf.DUMMYFUNCTION("""COMPUTED_VALUE"""),100.0)</f>
        <v>100</v>
      </c>
      <c r="H312" s="7">
        <f>IFERROR(__xludf.DUMMYFUNCTION("""COMPUTED_VALUE"""),100.0)</f>
        <v>100</v>
      </c>
      <c r="I312" s="7">
        <f>IFERROR(__xludf.DUMMYFUNCTION("""COMPUTED_VALUE"""),100.0)</f>
        <v>100</v>
      </c>
      <c r="J312" s="7">
        <f>IFERROR(__xludf.DUMMYFUNCTION("""COMPUTED_VALUE"""),100.0)</f>
        <v>100</v>
      </c>
      <c r="K312" s="7">
        <f>IFERROR(__xludf.DUMMYFUNCTION("""COMPUTED_VALUE"""),100.0)</f>
        <v>100</v>
      </c>
      <c r="L312" s="7">
        <f>IFERROR(__xludf.DUMMYFUNCTION("""COMPUTED_VALUE"""),100.0)</f>
        <v>100</v>
      </c>
    </row>
    <row r="313" ht="15.75" customHeight="1">
      <c r="A313" s="5" t="s">
        <v>42</v>
      </c>
      <c r="B313" s="15">
        <v>12.0</v>
      </c>
      <c r="C313" s="5" t="s">
        <v>48</v>
      </c>
      <c r="D313" s="8" t="s">
        <v>117</v>
      </c>
    </row>
    <row r="314" ht="15.75" customHeight="1">
      <c r="A314" s="5" t="s">
        <v>42</v>
      </c>
      <c r="C314" s="5" t="s">
        <v>21</v>
      </c>
      <c r="D314" s="15" t="s">
        <v>118</v>
      </c>
    </row>
    <row r="315" ht="15.75" customHeight="1">
      <c r="A315" s="5" t="s">
        <v>42</v>
      </c>
      <c r="C315" s="5" t="s">
        <v>21</v>
      </c>
      <c r="D315" s="15" t="s">
        <v>119</v>
      </c>
    </row>
    <row r="316" ht="15.75" customHeight="1">
      <c r="A316" s="5" t="s">
        <v>42</v>
      </c>
      <c r="C316" s="5" t="s">
        <v>21</v>
      </c>
      <c r="D316" s="15" t="s">
        <v>120</v>
      </c>
    </row>
    <row r="317" ht="15.75" customHeight="1">
      <c r="A317" s="5" t="s">
        <v>43</v>
      </c>
      <c r="B317" s="5">
        <v>1.0</v>
      </c>
      <c r="C317" s="5" t="s">
        <v>21</v>
      </c>
      <c r="D317" s="5" t="s">
        <v>23</v>
      </c>
      <c r="E317" s="5">
        <v>14.0</v>
      </c>
      <c r="F317" s="7">
        <f>IFERROR(__xludf.DUMMYFUNCTION("IMPORTRANGE(""1e7--NjE9N54w7uxIeTVQ2x149gW2CjGTf8gPedLtEqw"",""MDK!BY5:BY45"")"),60.0)</f>
        <v>60</v>
      </c>
      <c r="G317" s="7">
        <f>IFERROR(__xludf.DUMMYFUNCTION("IMPORTRANGE(""1e7--NjE9N54w7uxIeTVQ2x149gW2CjGTf8gPedLtEqw"",""MGT!BY5:BY45"")"),60.0)</f>
        <v>60</v>
      </c>
      <c r="H317" s="7">
        <f>IFERROR(__xludf.DUMMYFUNCTION("IMPORTRANGE(""1e7--NjE9N54w7uxIeTVQ2x149gW2CjGTf8gPedLtEqw"",""NGW!BY5:BY45"")"),60.0)</f>
        <v>60</v>
      </c>
      <c r="I317" s="7">
        <f>IFERROR(__xludf.DUMMYFUNCTION("IMPORTRANGE(""1e7--NjE9N54w7uxIeTVQ2x149gW2CjGTf8gPedLtEqw"",""MPT!BY5:BY45"")"),60.0)</f>
        <v>60</v>
      </c>
      <c r="J317" s="7">
        <f>IFERROR(__xludf.DUMMYFUNCTION("IMPORTRANGE(""1e7--NjE9N54w7uxIeTVQ2x149gW2CjGTf8gPedLtEqw"",""CRB!BY5:BY45"")"),60.0)</f>
        <v>60</v>
      </c>
      <c r="K317" s="7">
        <f>IFERROR(__xludf.DUMMYFUNCTION("IMPORTRANGE(""1e7--NjE9N54w7uxIeTVQ2x149gW2CjGTf8gPedLtEqw"",""DLP!BY5:BY45"")"),60.0)</f>
        <v>60</v>
      </c>
      <c r="L317" s="7">
        <f>IFERROR(__xludf.DUMMYFUNCTION("IMPORTRANGE(""1e7--NjE9N54w7uxIeTVQ2x149gW2CjGTf8gPedLtEqw"",""MTN!BY5:BY45"")"),60.0)</f>
        <v>60</v>
      </c>
    </row>
    <row r="318" ht="15.75" customHeight="1">
      <c r="A318" s="5" t="s">
        <v>43</v>
      </c>
      <c r="B318" s="5">
        <v>2.0</v>
      </c>
      <c r="C318" s="5" t="s">
        <v>21</v>
      </c>
      <c r="D318" s="5" t="s">
        <v>40</v>
      </c>
      <c r="E318" s="5">
        <v>12.0</v>
      </c>
      <c r="F318" s="7">
        <f>IFERROR(__xludf.DUMMYFUNCTION("""COMPUTED_VALUE"""),574.266804906136)</f>
        <v>574.2668049</v>
      </c>
      <c r="G318" s="7">
        <f>IFERROR(__xludf.DUMMYFUNCTION("""COMPUTED_VALUE"""),844.9854262572851)</f>
        <v>844.9854263</v>
      </c>
      <c r="H318" s="7">
        <f>IFERROR(__xludf.DUMMYFUNCTION("""COMPUTED_VALUE"""),882.3896142937191)</f>
        <v>882.3896143</v>
      </c>
      <c r="I318" s="7">
        <f>IFERROR(__xludf.DUMMYFUNCTION("""COMPUTED_VALUE"""),580.2602908236059)</f>
        <v>580.2602908</v>
      </c>
      <c r="J318" s="7">
        <f>IFERROR(__xludf.DUMMYFUNCTION("""COMPUTED_VALUE"""),594.088138897545)</f>
        <v>594.0881389</v>
      </c>
      <c r="K318" s="7">
        <f>IFERROR(__xludf.DUMMYFUNCTION("""COMPUTED_VALUE"""),654.07883553076)</f>
        <v>654.0788355</v>
      </c>
      <c r="L318" s="7">
        <f>IFERROR(__xludf.DUMMYFUNCTION("""COMPUTED_VALUE"""),1225.73389240812)</f>
        <v>1225.733892</v>
      </c>
    </row>
    <row r="319" ht="15.75" customHeight="1">
      <c r="A319" s="5" t="s">
        <v>43</v>
      </c>
      <c r="B319" s="5">
        <v>3.0</v>
      </c>
      <c r="C319" s="5" t="s">
        <v>48</v>
      </c>
      <c r="D319" s="8" t="s">
        <v>49</v>
      </c>
      <c r="E319" s="5">
        <v>14.0</v>
      </c>
      <c r="F319" s="5"/>
      <c r="G319" s="5"/>
      <c r="H319" s="5"/>
      <c r="I319" s="5"/>
      <c r="J319" s="5"/>
      <c r="K319" s="5"/>
      <c r="L319" s="5"/>
    </row>
    <row r="320" ht="15.75" customHeight="1">
      <c r="A320" s="5" t="s">
        <v>43</v>
      </c>
      <c r="C320" s="5" t="s">
        <v>21</v>
      </c>
      <c r="D320" s="5" t="s">
        <v>51</v>
      </c>
      <c r="E320" s="5">
        <v>6.0</v>
      </c>
      <c r="F320" s="7">
        <f>IFERROR(__xludf.DUMMYFUNCTION("""COMPUTED_VALUE"""),2357.278029289766)</f>
        <v>2357.278029</v>
      </c>
      <c r="G320" s="7">
        <f>IFERROR(__xludf.DUMMYFUNCTION("""COMPUTED_VALUE"""),2647.5264353802518)</f>
        <v>2647.526435</v>
      </c>
      <c r="H320" s="7">
        <f>IFERROR(__xludf.DUMMYFUNCTION("""COMPUTED_VALUE"""),4035.263820139808)</f>
        <v>4035.26382</v>
      </c>
      <c r="I320" s="7">
        <f>IFERROR(__xludf.DUMMYFUNCTION("""COMPUTED_VALUE"""),1850.456802243902)</f>
        <v>1850.456802</v>
      </c>
      <c r="J320" s="7">
        <f>IFERROR(__xludf.DUMMYFUNCTION("""COMPUTED_VALUE"""),5400.66102592459)</f>
        <v>5400.661026</v>
      </c>
      <c r="K320" s="7">
        <f>IFERROR(__xludf.DUMMYFUNCTION("""COMPUTED_VALUE"""),5770.004795308435)</f>
        <v>5770.004795</v>
      </c>
      <c r="L320" s="7">
        <f>IFERROR(__xludf.DUMMYFUNCTION("""COMPUTED_VALUE"""),1013.7605154382596)</f>
        <v>1013.760515</v>
      </c>
    </row>
    <row r="321" ht="15.75" customHeight="1">
      <c r="A321" s="5" t="s">
        <v>43</v>
      </c>
      <c r="C321" s="5" t="s">
        <v>21</v>
      </c>
      <c r="D321" s="5" t="s">
        <v>53</v>
      </c>
      <c r="E321" s="5">
        <v>6.0</v>
      </c>
      <c r="F321" s="7">
        <f>IFERROR(__xludf.DUMMYFUNCTION("""COMPUTED_VALUE"""),33.401409888941316)</f>
        <v>33.40140989</v>
      </c>
      <c r="G321" s="7">
        <f>IFERROR(__xludf.DUMMYFUNCTION("""COMPUTED_VALUE"""),77.27889058453816)</f>
        <v>77.27889058</v>
      </c>
      <c r="H321" s="7">
        <f>IFERROR(__xludf.DUMMYFUNCTION("""COMPUTED_VALUE"""),70.00129396034208)</f>
        <v>70.00129396</v>
      </c>
      <c r="I321" s="7">
        <f>IFERROR(__xludf.DUMMYFUNCTION("""COMPUTED_VALUE"""),38.866308381584005)</f>
        <v>38.86630838</v>
      </c>
      <c r="J321" s="7">
        <f>IFERROR(__xludf.DUMMYFUNCTION("""COMPUTED_VALUE"""),74.57864512815723)</f>
        <v>74.57864513</v>
      </c>
      <c r="K321" s="7">
        <f>IFERROR(__xludf.DUMMYFUNCTION("""COMPUTED_VALUE"""),80.69758190789751)</f>
        <v>80.69758191</v>
      </c>
      <c r="L321" s="7">
        <f>IFERROR(__xludf.DUMMYFUNCTION("""COMPUTED_VALUE"""),20.622555083754055)</f>
        <v>20.62255508</v>
      </c>
    </row>
    <row r="322" ht="15.75" customHeight="1">
      <c r="A322" s="5" t="s">
        <v>43</v>
      </c>
      <c r="C322" s="5" t="s">
        <v>21</v>
      </c>
      <c r="D322" s="5" t="s">
        <v>55</v>
      </c>
      <c r="E322" s="5">
        <v>2.0</v>
      </c>
      <c r="F322" s="7">
        <f>IFERROR(__xludf.DUMMYFUNCTION("""COMPUTED_VALUE"""),1211.8323166402733)</f>
        <v>1211.832317</v>
      </c>
      <c r="G322" s="7">
        <f>IFERROR(__xludf.DUMMYFUNCTION("""COMPUTED_VALUE"""),1103.302725630134)</f>
        <v>1103.302726</v>
      </c>
      <c r="H322" s="7">
        <f>IFERROR(__xludf.DUMMYFUNCTION("""COMPUTED_VALUE"""),3474.876240367995)</f>
        <v>3474.87624</v>
      </c>
      <c r="I322" s="7">
        <f>IFERROR(__xludf.DUMMYFUNCTION("""COMPUTED_VALUE"""),496.3926211496)</f>
        <v>496.3926211</v>
      </c>
      <c r="J322" s="7">
        <f>IFERROR(__xludf.DUMMYFUNCTION("""COMPUTED_VALUE"""),1605.0467365975696)</f>
        <v>1605.046737</v>
      </c>
      <c r="K322" s="7">
        <f>IFERROR(__xludf.DUMMYFUNCTION("""COMPUTED_VALUE"""),1903.8182016081241)</f>
        <v>1903.818202</v>
      </c>
      <c r="L322" s="7">
        <f>IFERROR(__xludf.DUMMYFUNCTION("""COMPUTED_VALUE"""),288.84043412340367)</f>
        <v>288.8404341</v>
      </c>
    </row>
    <row r="323" ht="15.75" customHeight="1">
      <c r="A323" s="5" t="s">
        <v>43</v>
      </c>
      <c r="B323" s="5">
        <v>4.0</v>
      </c>
      <c r="C323" s="5" t="s">
        <v>48</v>
      </c>
      <c r="D323" s="8" t="s">
        <v>62</v>
      </c>
      <c r="E323" s="5">
        <v>10.0</v>
      </c>
      <c r="F323" s="5"/>
      <c r="G323" s="5"/>
      <c r="H323" s="5"/>
      <c r="I323" s="5"/>
      <c r="J323" s="5"/>
      <c r="K323" s="5"/>
      <c r="L323" s="5"/>
    </row>
    <row r="324" ht="15.75" customHeight="1">
      <c r="A324" s="5" t="s">
        <v>43</v>
      </c>
      <c r="C324" s="5" t="s">
        <v>21</v>
      </c>
      <c r="D324" s="5" t="s">
        <v>64</v>
      </c>
      <c r="E324" s="5">
        <v>5.0</v>
      </c>
      <c r="F324" s="7">
        <f>IFERROR(__xludf.DUMMYFUNCTION("""COMPUTED_VALUE"""),0.0)</f>
        <v>0</v>
      </c>
      <c r="G324" s="7">
        <f>IFERROR(__xludf.DUMMYFUNCTION("""COMPUTED_VALUE"""),0.0)</f>
        <v>0</v>
      </c>
      <c r="H324" s="7">
        <f>IFERROR(__xludf.DUMMYFUNCTION("""COMPUTED_VALUE"""),0.0)</f>
        <v>0</v>
      </c>
      <c r="I324" s="7">
        <f>IFERROR(__xludf.DUMMYFUNCTION("""COMPUTED_VALUE"""),0.0)</f>
        <v>0</v>
      </c>
      <c r="J324" s="7">
        <f>IFERROR(__xludf.DUMMYFUNCTION("""COMPUTED_VALUE"""),0.0)</f>
        <v>0</v>
      </c>
      <c r="K324" s="7">
        <f>IFERROR(__xludf.DUMMYFUNCTION("""COMPUTED_VALUE"""),0.0)</f>
        <v>0</v>
      </c>
      <c r="L324" s="7">
        <f>IFERROR(__xludf.DUMMYFUNCTION("""COMPUTED_VALUE"""),0.0)</f>
        <v>0</v>
      </c>
    </row>
    <row r="325" ht="15.75" customHeight="1">
      <c r="A325" s="5" t="s">
        <v>43</v>
      </c>
      <c r="C325" s="5" t="s">
        <v>21</v>
      </c>
      <c r="D325" s="5" t="s">
        <v>70</v>
      </c>
      <c r="F325" s="7">
        <f>IFERROR(__xludf.DUMMYFUNCTION("""COMPUTED_VALUE"""),0.0)</f>
        <v>0</v>
      </c>
      <c r="G325" s="7">
        <f>IFERROR(__xludf.DUMMYFUNCTION("""COMPUTED_VALUE"""),0.0)</f>
        <v>0</v>
      </c>
      <c r="H325" s="7">
        <f>IFERROR(__xludf.DUMMYFUNCTION("""COMPUTED_VALUE"""),0.0)</f>
        <v>0</v>
      </c>
      <c r="I325" s="7">
        <f>IFERROR(__xludf.DUMMYFUNCTION("""COMPUTED_VALUE"""),0.0)</f>
        <v>0</v>
      </c>
      <c r="J325" s="7">
        <f>IFERROR(__xludf.DUMMYFUNCTION("""COMPUTED_VALUE"""),0.0)</f>
        <v>0</v>
      </c>
      <c r="K325" s="7">
        <f>IFERROR(__xludf.DUMMYFUNCTION("""COMPUTED_VALUE"""),0.0)</f>
        <v>0</v>
      </c>
      <c r="L325" s="7">
        <f>IFERROR(__xludf.DUMMYFUNCTION("""COMPUTED_VALUE"""),0.0)</f>
        <v>0</v>
      </c>
    </row>
    <row r="326" ht="15.75" customHeight="1">
      <c r="A326" s="5" t="s">
        <v>43</v>
      </c>
      <c r="C326" s="5" t="s">
        <v>21</v>
      </c>
      <c r="D326" s="5" t="s">
        <v>73</v>
      </c>
      <c r="F326" s="7">
        <f>IFERROR(__xludf.DUMMYFUNCTION("""COMPUTED_VALUE"""),0.0)</f>
        <v>0</v>
      </c>
      <c r="G326" s="7">
        <f>IFERROR(__xludf.DUMMYFUNCTION("""COMPUTED_VALUE"""),0.0)</f>
        <v>0</v>
      </c>
      <c r="H326" s="7">
        <f>IFERROR(__xludf.DUMMYFUNCTION("""COMPUTED_VALUE"""),0.0)</f>
        <v>0</v>
      </c>
      <c r="I326" s="7">
        <f>IFERROR(__xludf.DUMMYFUNCTION("""COMPUTED_VALUE"""),0.0)</f>
        <v>0</v>
      </c>
      <c r="J326" s="7">
        <f>IFERROR(__xludf.DUMMYFUNCTION("""COMPUTED_VALUE"""),0.0)</f>
        <v>0</v>
      </c>
      <c r="K326" s="7">
        <f>IFERROR(__xludf.DUMMYFUNCTION("""COMPUTED_VALUE"""),0.0)</f>
        <v>0</v>
      </c>
      <c r="L326" s="7">
        <f>IFERROR(__xludf.DUMMYFUNCTION("""COMPUTED_VALUE"""),0.0)</f>
        <v>0</v>
      </c>
    </row>
    <row r="327" ht="15.75" customHeight="1">
      <c r="A327" s="5" t="s">
        <v>43</v>
      </c>
      <c r="C327" s="5" t="s">
        <v>21</v>
      </c>
      <c r="D327" s="5" t="s">
        <v>74</v>
      </c>
      <c r="F327" s="7">
        <f>IFERROR(__xludf.DUMMYFUNCTION("""COMPUTED_VALUE"""),0.0)</f>
        <v>0</v>
      </c>
      <c r="G327" s="7">
        <f>IFERROR(__xludf.DUMMYFUNCTION("""COMPUTED_VALUE"""),0.0)</f>
        <v>0</v>
      </c>
      <c r="H327" s="7">
        <f>IFERROR(__xludf.DUMMYFUNCTION("""COMPUTED_VALUE"""),0.0)</f>
        <v>0</v>
      </c>
      <c r="I327" s="7">
        <f>IFERROR(__xludf.DUMMYFUNCTION("""COMPUTED_VALUE"""),0.0)</f>
        <v>0</v>
      </c>
      <c r="J327" s="7">
        <f>IFERROR(__xludf.DUMMYFUNCTION("""COMPUTED_VALUE"""),0.0)</f>
        <v>0</v>
      </c>
      <c r="K327" s="7">
        <f>IFERROR(__xludf.DUMMYFUNCTION("""COMPUTED_VALUE"""),0.0)</f>
        <v>0</v>
      </c>
      <c r="L327" s="7">
        <f>IFERROR(__xludf.DUMMYFUNCTION("""COMPUTED_VALUE"""),0.0)</f>
        <v>0</v>
      </c>
    </row>
    <row r="328" ht="15.75" customHeight="1">
      <c r="A328" s="5" t="s">
        <v>43</v>
      </c>
      <c r="C328" s="5" t="s">
        <v>21</v>
      </c>
      <c r="D328" s="5" t="s">
        <v>75</v>
      </c>
      <c r="E328" s="5">
        <v>5.0</v>
      </c>
      <c r="F328" s="7">
        <f>IFERROR(__xludf.DUMMYFUNCTION("""COMPUTED_VALUE"""),100.0)</f>
        <v>100</v>
      </c>
      <c r="G328" s="7">
        <f>IFERROR(__xludf.DUMMYFUNCTION("""COMPUTED_VALUE"""),100.0)</f>
        <v>100</v>
      </c>
      <c r="H328" s="7">
        <f>IFERROR(__xludf.DUMMYFUNCTION("""COMPUTED_VALUE"""),100.0)</f>
        <v>100</v>
      </c>
      <c r="I328" s="7">
        <f>IFERROR(__xludf.DUMMYFUNCTION("""COMPUTED_VALUE"""),100.0)</f>
        <v>100</v>
      </c>
      <c r="J328" s="7">
        <f>IFERROR(__xludf.DUMMYFUNCTION("""COMPUTED_VALUE"""),100.0)</f>
        <v>100</v>
      </c>
      <c r="K328" s="7">
        <f>IFERROR(__xludf.DUMMYFUNCTION("""COMPUTED_VALUE"""),100.0)</f>
        <v>100</v>
      </c>
      <c r="L328" s="7">
        <f>IFERROR(__xludf.DUMMYFUNCTION("""COMPUTED_VALUE"""),100.0)</f>
        <v>100</v>
      </c>
    </row>
    <row r="329" ht="15.75" customHeight="1">
      <c r="A329" s="5" t="s">
        <v>43</v>
      </c>
      <c r="B329" s="5">
        <v>5.0</v>
      </c>
      <c r="C329" s="5" t="s">
        <v>48</v>
      </c>
      <c r="D329" s="8" t="s">
        <v>76</v>
      </c>
      <c r="E329" s="5">
        <v>10.0</v>
      </c>
      <c r="F329" s="5"/>
      <c r="G329" s="5"/>
      <c r="H329" s="5"/>
      <c r="I329" s="5"/>
      <c r="J329" s="5"/>
      <c r="K329" s="5"/>
      <c r="L329" s="5"/>
    </row>
    <row r="330" ht="15.75" customHeight="1">
      <c r="A330" s="5" t="s">
        <v>43</v>
      </c>
      <c r="C330" s="5" t="s">
        <v>21</v>
      </c>
      <c r="D330" s="5" t="s">
        <v>79</v>
      </c>
      <c r="E330" s="5">
        <v>0.5</v>
      </c>
      <c r="F330" s="7">
        <f>IFERROR(__xludf.DUMMYFUNCTION("""COMPUTED_VALUE"""),0.0)</f>
        <v>0</v>
      </c>
      <c r="G330" s="7">
        <f>IFERROR(__xludf.DUMMYFUNCTION("""COMPUTED_VALUE"""),0.0)</f>
        <v>0</v>
      </c>
      <c r="H330" s="7">
        <f>IFERROR(__xludf.DUMMYFUNCTION("""COMPUTED_VALUE"""),0.0)</f>
        <v>0</v>
      </c>
      <c r="I330" s="7">
        <f>IFERROR(__xludf.DUMMYFUNCTION("""COMPUTED_VALUE"""),0.0)</f>
        <v>0</v>
      </c>
      <c r="J330" s="7">
        <f>IFERROR(__xludf.DUMMYFUNCTION("""COMPUTED_VALUE"""),0.0)</f>
        <v>0</v>
      </c>
      <c r="K330" s="7">
        <f>IFERROR(__xludf.DUMMYFUNCTION("""COMPUTED_VALUE"""),0.0)</f>
        <v>0</v>
      </c>
      <c r="L330" s="7">
        <f>IFERROR(__xludf.DUMMYFUNCTION("""COMPUTED_VALUE"""),0.0)</f>
        <v>0</v>
      </c>
    </row>
    <row r="331" ht="15.75" customHeight="1">
      <c r="A331" s="5" t="s">
        <v>43</v>
      </c>
      <c r="C331" s="5" t="s">
        <v>21</v>
      </c>
      <c r="D331" s="5" t="s">
        <v>81</v>
      </c>
      <c r="E331" s="5">
        <v>1.5</v>
      </c>
      <c r="F331" s="7">
        <f>IFERROR(__xludf.DUMMYFUNCTION("""COMPUTED_VALUE"""),0.0)</f>
        <v>0</v>
      </c>
      <c r="G331" s="7">
        <f>IFERROR(__xludf.DUMMYFUNCTION("""COMPUTED_VALUE"""),0.0)</f>
        <v>0</v>
      </c>
      <c r="H331" s="7">
        <f>IFERROR(__xludf.DUMMYFUNCTION("""COMPUTED_VALUE"""),0.0)</f>
        <v>0</v>
      </c>
      <c r="I331" s="7">
        <f>IFERROR(__xludf.DUMMYFUNCTION("""COMPUTED_VALUE"""),0.0)</f>
        <v>0</v>
      </c>
      <c r="J331" s="7">
        <f>IFERROR(__xludf.DUMMYFUNCTION("""COMPUTED_VALUE"""),0.0)</f>
        <v>0</v>
      </c>
      <c r="K331" s="7">
        <f>IFERROR(__xludf.DUMMYFUNCTION("""COMPUTED_VALUE"""),0.0)</f>
        <v>0</v>
      </c>
      <c r="L331" s="7">
        <f>IFERROR(__xludf.DUMMYFUNCTION("""COMPUTED_VALUE"""),0.0)</f>
        <v>0</v>
      </c>
    </row>
    <row r="332" ht="15.75" customHeight="1">
      <c r="A332" s="5" t="s">
        <v>43</v>
      </c>
      <c r="C332" s="5" t="s">
        <v>21</v>
      </c>
      <c r="D332" s="5" t="s">
        <v>82</v>
      </c>
      <c r="E332" s="5">
        <v>2.0</v>
      </c>
      <c r="F332" s="7">
        <f>IFERROR(__xludf.DUMMYFUNCTION("""COMPUTED_VALUE"""),0.0)</f>
        <v>0</v>
      </c>
      <c r="G332" s="7">
        <f>IFERROR(__xludf.DUMMYFUNCTION("""COMPUTED_VALUE"""),0.0)</f>
        <v>0</v>
      </c>
      <c r="H332" s="7">
        <f>IFERROR(__xludf.DUMMYFUNCTION("""COMPUTED_VALUE"""),0.0)</f>
        <v>0</v>
      </c>
      <c r="I332" s="7">
        <f>IFERROR(__xludf.DUMMYFUNCTION("""COMPUTED_VALUE"""),0.0)</f>
        <v>0</v>
      </c>
      <c r="J332" s="7">
        <f>IFERROR(__xludf.DUMMYFUNCTION("""COMPUTED_VALUE"""),0.0)</f>
        <v>0</v>
      </c>
      <c r="K332" s="7">
        <f>IFERROR(__xludf.DUMMYFUNCTION("""COMPUTED_VALUE"""),0.0)</f>
        <v>0</v>
      </c>
      <c r="L332" s="7">
        <f>IFERROR(__xludf.DUMMYFUNCTION("""COMPUTED_VALUE"""),0.0)</f>
        <v>0</v>
      </c>
    </row>
    <row r="333" ht="15.75" customHeight="1">
      <c r="A333" s="5" t="s">
        <v>43</v>
      </c>
      <c r="C333" s="5" t="s">
        <v>21</v>
      </c>
      <c r="D333" s="5" t="s">
        <v>83</v>
      </c>
      <c r="E333" s="5">
        <v>4.0</v>
      </c>
      <c r="F333" s="7">
        <f>IFERROR(__xludf.DUMMYFUNCTION("""COMPUTED_VALUE"""),100.0)</f>
        <v>100</v>
      </c>
      <c r="G333" s="7">
        <f>IFERROR(__xludf.DUMMYFUNCTION("""COMPUTED_VALUE"""),0.0)</f>
        <v>0</v>
      </c>
      <c r="H333" s="7">
        <f>IFERROR(__xludf.DUMMYFUNCTION("""COMPUTED_VALUE"""),0.0)</f>
        <v>0</v>
      </c>
      <c r="I333" s="7">
        <f>IFERROR(__xludf.DUMMYFUNCTION("""COMPUTED_VALUE"""),100.0)</f>
        <v>100</v>
      </c>
      <c r="J333" s="7">
        <f>IFERROR(__xludf.DUMMYFUNCTION("""COMPUTED_VALUE"""),0.0)</f>
        <v>0</v>
      </c>
      <c r="K333" s="7">
        <f>IFERROR(__xludf.DUMMYFUNCTION("""COMPUTED_VALUE"""),100.0)</f>
        <v>100</v>
      </c>
      <c r="L333" s="7">
        <f>IFERROR(__xludf.DUMMYFUNCTION("""COMPUTED_VALUE"""),0.0)</f>
        <v>0</v>
      </c>
    </row>
    <row r="334" ht="15.75" customHeight="1">
      <c r="A334" s="5" t="s">
        <v>43</v>
      </c>
      <c r="C334" s="5" t="s">
        <v>21</v>
      </c>
      <c r="D334" s="5" t="s">
        <v>84</v>
      </c>
      <c r="E334" s="5">
        <v>2.0</v>
      </c>
      <c r="F334" s="7">
        <f>IFERROR(__xludf.DUMMYFUNCTION("""COMPUTED_VALUE"""),100.0)</f>
        <v>100</v>
      </c>
      <c r="G334" s="7">
        <f>IFERROR(__xludf.DUMMYFUNCTION("""COMPUTED_VALUE"""),0.0)</f>
        <v>0</v>
      </c>
      <c r="H334" s="7">
        <f>IFERROR(__xludf.DUMMYFUNCTION("""COMPUTED_VALUE"""),0.0)</f>
        <v>0</v>
      </c>
      <c r="I334" s="7">
        <f>IFERROR(__xludf.DUMMYFUNCTION("""COMPUTED_VALUE"""),100.0)</f>
        <v>100</v>
      </c>
      <c r="J334" s="7">
        <f>IFERROR(__xludf.DUMMYFUNCTION("""COMPUTED_VALUE"""),0.0)</f>
        <v>0</v>
      </c>
      <c r="K334" s="7">
        <f>IFERROR(__xludf.DUMMYFUNCTION("""COMPUTED_VALUE"""),100.0)</f>
        <v>100</v>
      </c>
      <c r="L334" s="7">
        <f>IFERROR(__xludf.DUMMYFUNCTION("""COMPUTED_VALUE"""),0.0)</f>
        <v>0</v>
      </c>
    </row>
    <row r="335" ht="15.75" customHeight="1">
      <c r="A335" s="5" t="s">
        <v>43</v>
      </c>
      <c r="B335" s="5">
        <v>6.0</v>
      </c>
      <c r="C335" s="5" t="s">
        <v>48</v>
      </c>
      <c r="D335" s="8" t="s">
        <v>85</v>
      </c>
      <c r="E335" s="5">
        <v>8.0</v>
      </c>
      <c r="F335" s="5"/>
      <c r="G335" s="5"/>
      <c r="H335" s="5"/>
      <c r="I335" s="5"/>
      <c r="J335" s="5"/>
      <c r="K335" s="5"/>
      <c r="L335" s="5"/>
    </row>
    <row r="336" ht="15.75" customHeight="1">
      <c r="A336" s="5" t="s">
        <v>43</v>
      </c>
      <c r="C336" s="5" t="s">
        <v>21</v>
      </c>
      <c r="D336" s="5" t="s">
        <v>86</v>
      </c>
      <c r="E336" s="5">
        <v>2.0</v>
      </c>
      <c r="F336" s="7">
        <f>IFERROR(__xludf.DUMMYFUNCTION("""COMPUTED_VALUE"""),200.0)</f>
        <v>200</v>
      </c>
      <c r="G336" s="7">
        <f>IFERROR(__xludf.DUMMYFUNCTION("""COMPUTED_VALUE"""),100.0)</f>
        <v>100</v>
      </c>
      <c r="H336" s="7">
        <f>IFERROR(__xludf.DUMMYFUNCTION("""COMPUTED_VALUE"""),400.0)</f>
        <v>400</v>
      </c>
      <c r="I336" s="7">
        <f>IFERROR(__xludf.DUMMYFUNCTION("""COMPUTED_VALUE"""),200.0)</f>
        <v>200</v>
      </c>
      <c r="J336" s="7">
        <f>IFERROR(__xludf.DUMMYFUNCTION("""COMPUTED_VALUE"""),100.0)</f>
        <v>100</v>
      </c>
      <c r="K336" s="7">
        <f>IFERROR(__xludf.DUMMYFUNCTION("""COMPUTED_VALUE"""),200.0)</f>
        <v>200</v>
      </c>
      <c r="L336" s="7">
        <f>IFERROR(__xludf.DUMMYFUNCTION("""COMPUTED_VALUE"""),100.0)</f>
        <v>100</v>
      </c>
    </row>
    <row r="337" ht="15.75" customHeight="1">
      <c r="A337" s="5" t="s">
        <v>43</v>
      </c>
      <c r="C337" s="5" t="s">
        <v>21</v>
      </c>
      <c r="D337" s="5" t="s">
        <v>87</v>
      </c>
      <c r="E337" s="5">
        <v>2.0</v>
      </c>
      <c r="F337" s="7">
        <f>IFERROR(__xludf.DUMMYFUNCTION("""COMPUTED_VALUE"""),3000.0)</f>
        <v>3000</v>
      </c>
      <c r="G337" s="7">
        <f>IFERROR(__xludf.DUMMYFUNCTION("""COMPUTED_VALUE"""),3000.0)</f>
        <v>3000</v>
      </c>
      <c r="H337" s="7">
        <f>IFERROR(__xludf.DUMMYFUNCTION("""COMPUTED_VALUE"""),3000.0)</f>
        <v>3000</v>
      </c>
      <c r="I337" s="7">
        <f>IFERROR(__xludf.DUMMYFUNCTION("""COMPUTED_VALUE"""),3000.0)</f>
        <v>3000</v>
      </c>
      <c r="J337" s="7">
        <f>IFERROR(__xludf.DUMMYFUNCTION("""COMPUTED_VALUE"""),3000.0)</f>
        <v>3000</v>
      </c>
      <c r="K337" s="7">
        <f>IFERROR(__xludf.DUMMYFUNCTION("""COMPUTED_VALUE"""),3000.0)</f>
        <v>3000</v>
      </c>
      <c r="L337" s="7">
        <f>IFERROR(__xludf.DUMMYFUNCTION("""COMPUTED_VALUE"""),3000.0)</f>
        <v>3000</v>
      </c>
    </row>
    <row r="338" ht="15.75" customHeight="1">
      <c r="A338" s="5" t="s">
        <v>43</v>
      </c>
      <c r="C338" s="5" t="s">
        <v>21</v>
      </c>
      <c r="D338" s="5" t="s">
        <v>88</v>
      </c>
      <c r="E338" s="5">
        <v>2.0</v>
      </c>
      <c r="F338" s="7">
        <f>IFERROR(__xludf.DUMMYFUNCTION("""COMPUTED_VALUE"""),0.0)</f>
        <v>0</v>
      </c>
      <c r="G338" s="7">
        <f>IFERROR(__xludf.DUMMYFUNCTION("""COMPUTED_VALUE"""),0.0)</f>
        <v>0</v>
      </c>
      <c r="H338" s="7">
        <f>IFERROR(__xludf.DUMMYFUNCTION("""COMPUTED_VALUE"""),0.0)</f>
        <v>0</v>
      </c>
      <c r="I338" s="7">
        <f>IFERROR(__xludf.DUMMYFUNCTION("""COMPUTED_VALUE"""),0.0)</f>
        <v>0</v>
      </c>
      <c r="J338" s="7">
        <f>IFERROR(__xludf.DUMMYFUNCTION("""COMPUTED_VALUE"""),0.0)</f>
        <v>0</v>
      </c>
      <c r="K338" s="7">
        <f>IFERROR(__xludf.DUMMYFUNCTION("""COMPUTED_VALUE"""),0.0)</f>
        <v>0</v>
      </c>
      <c r="L338" s="7">
        <f>IFERROR(__xludf.DUMMYFUNCTION("""COMPUTED_VALUE"""),0.0)</f>
        <v>0</v>
      </c>
    </row>
    <row r="339" ht="15.75" customHeight="1">
      <c r="A339" s="5" t="s">
        <v>43</v>
      </c>
      <c r="C339" s="5" t="s">
        <v>21</v>
      </c>
      <c r="D339" s="5" t="s">
        <v>89</v>
      </c>
      <c r="E339" s="5">
        <v>1.2</v>
      </c>
      <c r="F339" s="7">
        <f>IFERROR(__xludf.DUMMYFUNCTION("""COMPUTED_VALUE"""),0.0)</f>
        <v>0</v>
      </c>
      <c r="G339" s="7">
        <f>IFERROR(__xludf.DUMMYFUNCTION("""COMPUTED_VALUE"""),0.0)</f>
        <v>0</v>
      </c>
      <c r="H339" s="7">
        <f>IFERROR(__xludf.DUMMYFUNCTION("""COMPUTED_VALUE"""),0.0)</f>
        <v>0</v>
      </c>
      <c r="I339" s="7">
        <f>IFERROR(__xludf.DUMMYFUNCTION("""COMPUTED_VALUE"""),0.0)</f>
        <v>0</v>
      </c>
      <c r="J339" s="7">
        <f>IFERROR(__xludf.DUMMYFUNCTION("""COMPUTED_VALUE"""),0.0)</f>
        <v>0</v>
      </c>
      <c r="K339" s="7">
        <f>IFERROR(__xludf.DUMMYFUNCTION("""COMPUTED_VALUE"""),0.0)</f>
        <v>0</v>
      </c>
      <c r="L339" s="7">
        <f>IFERROR(__xludf.DUMMYFUNCTION("""COMPUTED_VALUE"""),0.0)</f>
        <v>0</v>
      </c>
    </row>
    <row r="340" ht="15.75" customHeight="1">
      <c r="A340" s="5" t="s">
        <v>43</v>
      </c>
      <c r="C340" s="5" t="s">
        <v>21</v>
      </c>
      <c r="D340" s="5" t="s">
        <v>92</v>
      </c>
      <c r="E340" s="5">
        <v>0.8</v>
      </c>
      <c r="F340" s="7">
        <f>IFERROR(__xludf.DUMMYFUNCTION("""COMPUTED_VALUE"""),0.0)</f>
        <v>0</v>
      </c>
      <c r="G340" s="7">
        <f>IFERROR(__xludf.DUMMYFUNCTION("""COMPUTED_VALUE"""),0.0)</f>
        <v>0</v>
      </c>
      <c r="H340" s="7">
        <f>IFERROR(__xludf.DUMMYFUNCTION("""COMPUTED_VALUE"""),0.0)</f>
        <v>0</v>
      </c>
      <c r="I340" s="7">
        <f>IFERROR(__xludf.DUMMYFUNCTION("""COMPUTED_VALUE"""),0.0)</f>
        <v>0</v>
      </c>
      <c r="J340" s="7">
        <f>IFERROR(__xludf.DUMMYFUNCTION("""COMPUTED_VALUE"""),0.0)</f>
        <v>0</v>
      </c>
      <c r="K340" s="7">
        <f>IFERROR(__xludf.DUMMYFUNCTION("""COMPUTED_VALUE"""),0.0)</f>
        <v>0</v>
      </c>
      <c r="L340" s="7">
        <f>IFERROR(__xludf.DUMMYFUNCTION("""COMPUTED_VALUE"""),0.0)</f>
        <v>0</v>
      </c>
    </row>
    <row r="341" ht="15.75" customHeight="1">
      <c r="A341" s="5" t="s">
        <v>43</v>
      </c>
      <c r="B341" s="5">
        <v>7.0</v>
      </c>
      <c r="C341" s="5" t="s">
        <v>48</v>
      </c>
      <c r="D341" s="8" t="s">
        <v>94</v>
      </c>
      <c r="E341" s="5">
        <v>7.0</v>
      </c>
      <c r="F341" s="5"/>
      <c r="G341" s="5"/>
      <c r="H341" s="5"/>
      <c r="I341" s="5"/>
      <c r="J341" s="5"/>
      <c r="K341" s="5"/>
      <c r="L341" s="5"/>
    </row>
    <row r="342" ht="15.75" customHeight="1">
      <c r="A342" s="5" t="s">
        <v>43</v>
      </c>
      <c r="C342" s="5" t="s">
        <v>21</v>
      </c>
      <c r="D342" s="5" t="s">
        <v>95</v>
      </c>
      <c r="E342" s="5">
        <v>5.0</v>
      </c>
      <c r="F342" s="7">
        <f>IFERROR(__xludf.DUMMYFUNCTION("""COMPUTED_VALUE"""),15100.0)</f>
        <v>15100</v>
      </c>
      <c r="G342" s="7">
        <f>IFERROR(__xludf.DUMMYFUNCTION("""COMPUTED_VALUE"""),20800.0)</f>
        <v>20800</v>
      </c>
      <c r="H342" s="7">
        <f>IFERROR(__xludf.DUMMYFUNCTION("""COMPUTED_VALUE"""),41500.0)</f>
        <v>41500</v>
      </c>
      <c r="I342" s="7">
        <f>IFERROR(__xludf.DUMMYFUNCTION("""COMPUTED_VALUE"""),9500.0)</f>
        <v>9500</v>
      </c>
      <c r="J342" s="7">
        <f>IFERROR(__xludf.DUMMYFUNCTION("""COMPUTED_VALUE"""),22400.0)</f>
        <v>22400</v>
      </c>
      <c r="K342" s="7">
        <f>IFERROR(__xludf.DUMMYFUNCTION("""COMPUTED_VALUE"""),20700.0)</f>
        <v>20700</v>
      </c>
      <c r="L342" s="7">
        <f>IFERROR(__xludf.DUMMYFUNCTION("""COMPUTED_VALUE"""),14300.0)</f>
        <v>14300</v>
      </c>
    </row>
    <row r="343" ht="15.75" customHeight="1">
      <c r="A343" s="5" t="s">
        <v>43</v>
      </c>
      <c r="C343" s="5" t="s">
        <v>21</v>
      </c>
      <c r="D343" s="5" t="s">
        <v>96</v>
      </c>
      <c r="E343" s="5">
        <v>2.0</v>
      </c>
      <c r="F343" s="7">
        <f>IFERROR(__xludf.DUMMYFUNCTION("""COMPUTED_VALUE"""),500.0)</f>
        <v>500</v>
      </c>
      <c r="G343" s="7">
        <f>IFERROR(__xludf.DUMMYFUNCTION("""COMPUTED_VALUE"""),400.0)</f>
        <v>400</v>
      </c>
      <c r="H343" s="7">
        <f>IFERROR(__xludf.DUMMYFUNCTION("""COMPUTED_VALUE"""),600.0)</f>
        <v>600</v>
      </c>
      <c r="I343" s="7">
        <f>IFERROR(__xludf.DUMMYFUNCTION("""COMPUTED_VALUE"""),400.0)</f>
        <v>400</v>
      </c>
      <c r="J343" s="7">
        <f>IFERROR(__xludf.DUMMYFUNCTION("""COMPUTED_VALUE"""),500.0)</f>
        <v>500</v>
      </c>
      <c r="K343" s="7">
        <f>IFERROR(__xludf.DUMMYFUNCTION("""COMPUTED_VALUE"""),600.0)</f>
        <v>600</v>
      </c>
      <c r="L343" s="7">
        <f>IFERROR(__xludf.DUMMYFUNCTION("""COMPUTED_VALUE"""),600.0)</f>
        <v>600</v>
      </c>
    </row>
    <row r="344" ht="15.75" customHeight="1">
      <c r="A344" s="5" t="s">
        <v>43</v>
      </c>
      <c r="B344" s="5">
        <v>8.0</v>
      </c>
      <c r="C344" s="5" t="s">
        <v>48</v>
      </c>
      <c r="D344" s="8" t="s">
        <v>97</v>
      </c>
      <c r="E344" s="5">
        <v>8.0</v>
      </c>
      <c r="F344" s="5"/>
      <c r="G344" s="5"/>
      <c r="H344" s="5"/>
      <c r="I344" s="5"/>
      <c r="J344" s="5"/>
      <c r="K344" s="5"/>
      <c r="L344" s="5"/>
    </row>
    <row r="345" ht="15.75" customHeight="1">
      <c r="A345" s="5" t="s">
        <v>43</v>
      </c>
      <c r="C345" s="5" t="s">
        <v>21</v>
      </c>
      <c r="D345" s="5" t="s">
        <v>98</v>
      </c>
      <c r="E345" s="5">
        <v>6.0</v>
      </c>
      <c r="F345" s="7">
        <f>IFERROR(__xludf.DUMMYFUNCTION("""COMPUTED_VALUE"""),0.0)</f>
        <v>0</v>
      </c>
      <c r="G345" s="7">
        <f>IFERROR(__xludf.DUMMYFUNCTION("""COMPUTED_VALUE"""),0.0)</f>
        <v>0</v>
      </c>
      <c r="H345" s="7">
        <f>IFERROR(__xludf.DUMMYFUNCTION("""COMPUTED_VALUE"""),0.0)</f>
        <v>0</v>
      </c>
      <c r="I345" s="7">
        <f>IFERROR(__xludf.DUMMYFUNCTION("""COMPUTED_VALUE"""),0.0)</f>
        <v>0</v>
      </c>
      <c r="J345" s="7">
        <f>IFERROR(__xludf.DUMMYFUNCTION("""COMPUTED_VALUE"""),0.0)</f>
        <v>0</v>
      </c>
      <c r="K345" s="7">
        <f>IFERROR(__xludf.DUMMYFUNCTION("""COMPUTED_VALUE"""),0.0)</f>
        <v>0</v>
      </c>
      <c r="L345" s="7">
        <f>IFERROR(__xludf.DUMMYFUNCTION("""COMPUTED_VALUE"""),0.0)</f>
        <v>0</v>
      </c>
    </row>
    <row r="346" ht="15.75" customHeight="1">
      <c r="A346" s="5" t="s">
        <v>43</v>
      </c>
      <c r="C346" s="5" t="s">
        <v>21</v>
      </c>
      <c r="D346" s="5" t="s">
        <v>99</v>
      </c>
      <c r="E346" s="5">
        <v>2.0</v>
      </c>
      <c r="F346" s="7">
        <f>IFERROR(__xludf.DUMMYFUNCTION("""COMPUTED_VALUE"""),0.0)</f>
        <v>0</v>
      </c>
      <c r="G346" s="7">
        <f>IFERROR(__xludf.DUMMYFUNCTION("""COMPUTED_VALUE"""),0.0)</f>
        <v>0</v>
      </c>
      <c r="H346" s="7">
        <f>IFERROR(__xludf.DUMMYFUNCTION("""COMPUTED_VALUE"""),0.0)</f>
        <v>0</v>
      </c>
      <c r="I346" s="7">
        <f>IFERROR(__xludf.DUMMYFUNCTION("""COMPUTED_VALUE"""),0.0)</f>
        <v>0</v>
      </c>
      <c r="J346" s="7">
        <f>IFERROR(__xludf.DUMMYFUNCTION("""COMPUTED_VALUE"""),0.0)</f>
        <v>0</v>
      </c>
      <c r="K346" s="7">
        <f>IFERROR(__xludf.DUMMYFUNCTION("""COMPUTED_VALUE"""),0.0)</f>
        <v>0</v>
      </c>
      <c r="L346" s="7">
        <f>IFERROR(__xludf.DUMMYFUNCTION("""COMPUTED_VALUE"""),0.0)</f>
        <v>0</v>
      </c>
    </row>
    <row r="347" ht="15.75" customHeight="1">
      <c r="A347" s="5" t="s">
        <v>43</v>
      </c>
      <c r="B347" s="5">
        <v>9.0</v>
      </c>
      <c r="C347" s="5" t="s">
        <v>48</v>
      </c>
      <c r="D347" s="8" t="s">
        <v>101</v>
      </c>
      <c r="E347" s="5">
        <v>6.0</v>
      </c>
      <c r="F347" s="5"/>
      <c r="G347" s="5"/>
      <c r="H347" s="5"/>
      <c r="I347" s="5"/>
      <c r="J347" s="5"/>
      <c r="K347" s="5"/>
      <c r="L347" s="5"/>
    </row>
    <row r="348" ht="15.75" customHeight="1">
      <c r="A348" s="5" t="s">
        <v>43</v>
      </c>
      <c r="C348" s="5" t="s">
        <v>21</v>
      </c>
      <c r="D348" s="5" t="s">
        <v>102</v>
      </c>
      <c r="E348" s="5">
        <v>2.0</v>
      </c>
      <c r="F348" s="7">
        <f>IFERROR(__xludf.DUMMYFUNCTION("""COMPUTED_VALUE"""),713.6109113221511)</f>
        <v>713.6109113</v>
      </c>
      <c r="G348" s="7">
        <f>IFERROR(__xludf.DUMMYFUNCTION("""COMPUTED_VALUE"""),497.9714770596942)</f>
        <v>497.9714771</v>
      </c>
      <c r="H348" s="7">
        <f>IFERROR(__xludf.DUMMYFUNCTION("""COMPUTED_VALUE"""),743.9930996546619)</f>
        <v>743.9930997</v>
      </c>
      <c r="I348" s="7">
        <f>IFERROR(__xludf.DUMMYFUNCTION("""COMPUTED_VALUE"""),406.08388307844103)</f>
        <v>406.0838831</v>
      </c>
      <c r="J348" s="7">
        <f>IFERROR(__xludf.DUMMYFUNCTION("""COMPUTED_VALUE"""),258.6191153182043)</f>
        <v>258.6191153</v>
      </c>
      <c r="K348" s="7">
        <f>IFERROR(__xludf.DUMMYFUNCTION("""COMPUTED_VALUE"""),224.53178206709418)</f>
        <v>224.5317821</v>
      </c>
      <c r="L348" s="7">
        <f>IFERROR(__xludf.DUMMYFUNCTION("""COMPUTED_VALUE"""),159.3212314997533)</f>
        <v>159.3212315</v>
      </c>
    </row>
    <row r="349" ht="15.75" customHeight="1">
      <c r="A349" s="5" t="s">
        <v>43</v>
      </c>
      <c r="C349" s="5" t="s">
        <v>21</v>
      </c>
      <c r="D349" s="5" t="s">
        <v>103</v>
      </c>
      <c r="E349" s="5">
        <v>2.0</v>
      </c>
      <c r="F349" s="7">
        <f>IFERROR(__xludf.DUMMYFUNCTION("""COMPUTED_VALUE"""),0.0)</f>
        <v>0</v>
      </c>
      <c r="G349" s="7">
        <f>IFERROR(__xludf.DUMMYFUNCTION("""COMPUTED_VALUE"""),0.0)</f>
        <v>0</v>
      </c>
      <c r="H349" s="7">
        <f>IFERROR(__xludf.DUMMYFUNCTION("""COMPUTED_VALUE"""),0.0)</f>
        <v>0</v>
      </c>
      <c r="I349" s="7">
        <f>IFERROR(__xludf.DUMMYFUNCTION("""COMPUTED_VALUE"""),0.0)</f>
        <v>0</v>
      </c>
      <c r="J349" s="7">
        <f>IFERROR(__xludf.DUMMYFUNCTION("""COMPUTED_VALUE"""),0.0)</f>
        <v>0</v>
      </c>
      <c r="K349" s="7">
        <f>IFERROR(__xludf.DUMMYFUNCTION("""COMPUTED_VALUE"""),0.0)</f>
        <v>0</v>
      </c>
      <c r="L349" s="7">
        <f>IFERROR(__xludf.DUMMYFUNCTION("""COMPUTED_VALUE"""),0.0)</f>
        <v>0</v>
      </c>
    </row>
    <row r="350" ht="15.75" customHeight="1">
      <c r="A350" s="5" t="s">
        <v>43</v>
      </c>
      <c r="C350" s="5" t="s">
        <v>21</v>
      </c>
      <c r="D350" s="5" t="s">
        <v>104</v>
      </c>
      <c r="E350" s="5">
        <v>2.0</v>
      </c>
      <c r="F350" s="7">
        <f>IFERROR(__xludf.DUMMYFUNCTION("""COMPUTED_VALUE"""),0.0)</f>
        <v>0</v>
      </c>
      <c r="G350" s="7">
        <f>IFERROR(__xludf.DUMMYFUNCTION("""COMPUTED_VALUE"""),0.0)</f>
        <v>0</v>
      </c>
      <c r="H350" s="7">
        <f>IFERROR(__xludf.DUMMYFUNCTION("""COMPUTED_VALUE"""),0.0)</f>
        <v>0</v>
      </c>
      <c r="I350" s="7">
        <f>IFERROR(__xludf.DUMMYFUNCTION("""COMPUTED_VALUE"""),0.0)</f>
        <v>0</v>
      </c>
      <c r="J350" s="7">
        <f>IFERROR(__xludf.DUMMYFUNCTION("""COMPUTED_VALUE"""),0.0)</f>
        <v>0</v>
      </c>
      <c r="K350" s="7">
        <f>IFERROR(__xludf.DUMMYFUNCTION("""COMPUTED_VALUE"""),0.0)</f>
        <v>0</v>
      </c>
      <c r="L350" s="7">
        <f>IFERROR(__xludf.DUMMYFUNCTION("""COMPUTED_VALUE"""),0.0)</f>
        <v>0</v>
      </c>
    </row>
    <row r="351" ht="15.75" customHeight="1">
      <c r="A351" s="5" t="s">
        <v>43</v>
      </c>
      <c r="B351" s="5">
        <v>10.0</v>
      </c>
      <c r="C351" s="5" t="s">
        <v>48</v>
      </c>
      <c r="D351" s="8" t="s">
        <v>107</v>
      </c>
      <c r="E351" s="5">
        <v>7.0</v>
      </c>
      <c r="F351" s="5"/>
      <c r="G351" s="5"/>
      <c r="H351" s="5"/>
      <c r="I351" s="5"/>
      <c r="J351" s="5"/>
      <c r="K351" s="5"/>
      <c r="L351" s="5"/>
    </row>
    <row r="352" ht="15.75" customHeight="1">
      <c r="A352" s="5" t="s">
        <v>43</v>
      </c>
      <c r="C352" s="5" t="s">
        <v>21</v>
      </c>
      <c r="D352" s="5" t="s">
        <v>108</v>
      </c>
      <c r="E352" s="5">
        <v>3.0</v>
      </c>
      <c r="F352" s="7">
        <f>IFERROR(__xludf.DUMMYFUNCTION("""COMPUTED_VALUE"""),77.43351182750226)</f>
        <v>77.43351183</v>
      </c>
      <c r="G352" s="7">
        <f>IFERROR(__xludf.DUMMYFUNCTION("""COMPUTED_VALUE"""),53.89433954640952)</f>
        <v>53.89433955</v>
      </c>
      <c r="H352" s="7">
        <f>IFERROR(__xludf.DUMMYFUNCTION("""COMPUTED_VALUE"""),102.47799607351831)</f>
        <v>102.4779961</v>
      </c>
      <c r="I352" s="7">
        <f>IFERROR(__xludf.DUMMYFUNCTION("""COMPUTED_VALUE"""),53.459462159082136)</f>
        <v>53.45946216</v>
      </c>
      <c r="J352" s="7">
        <f>IFERROR(__xludf.DUMMYFUNCTION("""COMPUTED_VALUE"""),104.99467809044607)</f>
        <v>104.9946781</v>
      </c>
      <c r="K352" s="7">
        <f>IFERROR(__xludf.DUMMYFUNCTION("""COMPUTED_VALUE"""),38.875182816031675)</f>
        <v>38.87518282</v>
      </c>
      <c r="L352" s="7">
        <f>IFERROR(__xludf.DUMMYFUNCTION("""COMPUTED_VALUE"""),92.11905334119217)</f>
        <v>92.11905334</v>
      </c>
    </row>
    <row r="353" ht="15.75" customHeight="1">
      <c r="A353" s="5" t="s">
        <v>43</v>
      </c>
      <c r="C353" s="5" t="s">
        <v>21</v>
      </c>
      <c r="D353" s="5" t="s">
        <v>109</v>
      </c>
      <c r="E353" s="5">
        <v>2.0</v>
      </c>
      <c r="F353" s="7">
        <f>IFERROR(__xludf.DUMMYFUNCTION("""COMPUTED_VALUE"""),86.77014042867701)</f>
        <v>86.77014043</v>
      </c>
      <c r="G353" s="7">
        <f>IFERROR(__xludf.DUMMYFUNCTION("""COMPUTED_VALUE"""),92.99065420560748)</f>
        <v>92.99065421</v>
      </c>
      <c r="H353" s="7">
        <f>IFERROR(__xludf.DUMMYFUNCTION("""COMPUTED_VALUE"""),135.89359310603223)</f>
        <v>135.8935931</v>
      </c>
      <c r="I353" s="7">
        <f>IFERROR(__xludf.DUMMYFUNCTION("""COMPUTED_VALUE"""),111.11111111111111)</f>
        <v>111.1111111</v>
      </c>
      <c r="J353" s="7">
        <f>IFERROR(__xludf.DUMMYFUNCTION("""COMPUTED_VALUE"""),100.36496350364963)</f>
        <v>100.3649635</v>
      </c>
      <c r="K353" s="7">
        <f>IFERROR(__xludf.DUMMYFUNCTION("""COMPUTED_VALUE"""),108.1981981981982)</f>
        <v>108.1981982</v>
      </c>
      <c r="L353" s="7">
        <f>IFERROR(__xludf.DUMMYFUNCTION("""COMPUTED_VALUE"""),92.44629244629245)</f>
        <v>92.44629245</v>
      </c>
    </row>
    <row r="354" ht="15.75" customHeight="1">
      <c r="A354" s="5" t="s">
        <v>43</v>
      </c>
      <c r="C354" s="5" t="s">
        <v>21</v>
      </c>
      <c r="D354" s="5" t="s">
        <v>110</v>
      </c>
      <c r="E354" s="5">
        <v>2.0</v>
      </c>
      <c r="F354" s="7">
        <f>IFERROR(__xludf.DUMMYFUNCTION("""COMPUTED_VALUE"""),100.0)</f>
        <v>100</v>
      </c>
      <c r="G354" s="7">
        <f>IFERROR(__xludf.DUMMYFUNCTION("""COMPUTED_VALUE"""),100.0)</f>
        <v>100</v>
      </c>
      <c r="H354" s="7">
        <f>IFERROR(__xludf.DUMMYFUNCTION("""COMPUTED_VALUE"""),100.0)</f>
        <v>100</v>
      </c>
      <c r="I354" s="7">
        <f>IFERROR(__xludf.DUMMYFUNCTION("""COMPUTED_VALUE"""),100.0)</f>
        <v>100</v>
      </c>
      <c r="J354" s="7">
        <f>IFERROR(__xludf.DUMMYFUNCTION("""COMPUTED_VALUE"""),100.0)</f>
        <v>100</v>
      </c>
      <c r="K354" s="7">
        <f>IFERROR(__xludf.DUMMYFUNCTION("""COMPUTED_VALUE"""),100.0)</f>
        <v>100</v>
      </c>
      <c r="L354" s="7">
        <f>IFERROR(__xludf.DUMMYFUNCTION("""COMPUTED_VALUE"""),100.0)</f>
        <v>100</v>
      </c>
    </row>
    <row r="355" ht="15.75" customHeight="1">
      <c r="A355" s="5" t="s">
        <v>43</v>
      </c>
      <c r="B355" s="15">
        <v>11.0</v>
      </c>
      <c r="C355" s="5" t="s">
        <v>48</v>
      </c>
      <c r="D355" s="8" t="s">
        <v>111</v>
      </c>
      <c r="E355" s="15">
        <v>4.0</v>
      </c>
      <c r="F355" s="5"/>
      <c r="G355" s="5"/>
      <c r="H355" s="5"/>
      <c r="I355" s="5"/>
      <c r="J355" s="5"/>
      <c r="K355" s="5"/>
      <c r="L355" s="5"/>
    </row>
    <row r="356" ht="15.75" customHeight="1">
      <c r="A356" s="5" t="s">
        <v>43</v>
      </c>
      <c r="C356" s="5" t="b">
        <v>0</v>
      </c>
      <c r="D356" s="15" t="s">
        <v>112</v>
      </c>
      <c r="E356" s="15">
        <v>2.0</v>
      </c>
      <c r="F356" s="7">
        <f>IFERROR(__xludf.DUMMYFUNCTION("""COMPUTED_VALUE"""),0.0)</f>
        <v>0</v>
      </c>
      <c r="G356" s="7">
        <f>IFERROR(__xludf.DUMMYFUNCTION("""COMPUTED_VALUE"""),0.0)</f>
        <v>0</v>
      </c>
      <c r="H356" s="7">
        <f>IFERROR(__xludf.DUMMYFUNCTION("""COMPUTED_VALUE"""),0.0)</f>
        <v>0</v>
      </c>
      <c r="I356" s="7">
        <f>IFERROR(__xludf.DUMMYFUNCTION("""COMPUTED_VALUE"""),0.0)</f>
        <v>0</v>
      </c>
      <c r="J356" s="7">
        <f>IFERROR(__xludf.DUMMYFUNCTION("""COMPUTED_VALUE"""),0.0)</f>
        <v>0</v>
      </c>
      <c r="K356" s="7">
        <f>IFERROR(__xludf.DUMMYFUNCTION("""COMPUTED_VALUE"""),0.0)</f>
        <v>0</v>
      </c>
      <c r="L356" s="7">
        <f>IFERROR(__xludf.DUMMYFUNCTION("""COMPUTED_VALUE"""),0.0)</f>
        <v>0</v>
      </c>
    </row>
    <row r="357" ht="15.75" customHeight="1">
      <c r="A357" s="5" t="s">
        <v>43</v>
      </c>
      <c r="C357" s="5" t="s">
        <v>21</v>
      </c>
      <c r="D357" s="15" t="s">
        <v>113</v>
      </c>
      <c r="E357" s="15">
        <v>2.0</v>
      </c>
      <c r="F357" s="7">
        <f>IFERROR(__xludf.DUMMYFUNCTION("""COMPUTED_VALUE"""),100.0)</f>
        <v>100</v>
      </c>
      <c r="G357" s="7">
        <f>IFERROR(__xludf.DUMMYFUNCTION("""COMPUTED_VALUE"""),100.0)</f>
        <v>100</v>
      </c>
      <c r="H357" s="7">
        <f>IFERROR(__xludf.DUMMYFUNCTION("""COMPUTED_VALUE"""),100.0)</f>
        <v>100</v>
      </c>
      <c r="I357" s="7">
        <f>IFERROR(__xludf.DUMMYFUNCTION("""COMPUTED_VALUE"""),100.0)</f>
        <v>100</v>
      </c>
      <c r="J357" s="7">
        <f>IFERROR(__xludf.DUMMYFUNCTION("""COMPUTED_VALUE"""),100.0)</f>
        <v>100</v>
      </c>
      <c r="K357" s="7">
        <f>IFERROR(__xludf.DUMMYFUNCTION("""COMPUTED_VALUE"""),100.0)</f>
        <v>100</v>
      </c>
      <c r="L357" s="7">
        <f>IFERROR(__xludf.DUMMYFUNCTION("""COMPUTED_VALUE"""),100.0)</f>
        <v>100</v>
      </c>
    </row>
    <row r="358" ht="15.75" customHeight="1">
      <c r="A358" s="5" t="s">
        <v>43</v>
      </c>
      <c r="B358" s="15">
        <v>12.0</v>
      </c>
      <c r="C358" s="5" t="s">
        <v>48</v>
      </c>
      <c r="D358" s="8" t="s">
        <v>117</v>
      </c>
    </row>
    <row r="359" ht="15.75" customHeight="1">
      <c r="A359" s="5" t="s">
        <v>43</v>
      </c>
      <c r="C359" s="5" t="s">
        <v>21</v>
      </c>
      <c r="D359" s="15" t="s">
        <v>118</v>
      </c>
    </row>
    <row r="360" ht="15.75" customHeight="1">
      <c r="A360" s="5" t="s">
        <v>43</v>
      </c>
      <c r="C360" s="5" t="s">
        <v>21</v>
      </c>
      <c r="D360" s="15" t="s">
        <v>119</v>
      </c>
    </row>
    <row r="361" ht="15.75" customHeight="1">
      <c r="A361" s="5" t="s">
        <v>43</v>
      </c>
      <c r="C361" s="5" t="s">
        <v>21</v>
      </c>
      <c r="D361" s="15" t="s">
        <v>120</v>
      </c>
    </row>
    <row r="362" ht="15.75" customHeight="1">
      <c r="A362" s="5" t="s">
        <v>44</v>
      </c>
      <c r="B362" s="5">
        <v>1.0</v>
      </c>
      <c r="C362" s="5" t="s">
        <v>21</v>
      </c>
      <c r="D362" s="5" t="s">
        <v>23</v>
      </c>
      <c r="E362" s="5">
        <v>14.0</v>
      </c>
      <c r="F362" s="7">
        <f>IFERROR(__xludf.DUMMYFUNCTION("IMPORTRANGE(""1e7--NjE9N54w7uxIeTVQ2x149gW2CjGTf8gPedLtEqw"",""MDK!BZ5:BZ45"")"),60.0)</f>
        <v>60</v>
      </c>
      <c r="G362" s="7">
        <f>IFERROR(__xludf.DUMMYFUNCTION("IMPORTRANGE(""1e7--NjE9N54w7uxIeTVQ2x149gW2CjGTf8gPedLtEqw"",""MGT!BZ5:BZ45"")"),60.0)</f>
        <v>60</v>
      </c>
      <c r="H362" s="7">
        <f>IFERROR(__xludf.DUMMYFUNCTION("IMPORTRANGE(""1e7--NjE9N54w7uxIeTVQ2x149gW2CjGTf8gPedLtEqw"",""NGW!BZ5:BZ45"")"),60.0)</f>
        <v>60</v>
      </c>
      <c r="I362" s="7">
        <f>IFERROR(__xludf.DUMMYFUNCTION("IMPORTRANGE(""1e7--NjE9N54w7uxIeTVQ2x149gW2CjGTf8gPedLtEqw"",""MPT!BZ5:BZ45"")"),60.0)</f>
        <v>60</v>
      </c>
      <c r="J362" s="7">
        <f>IFERROR(__xludf.DUMMYFUNCTION("IMPORTRANGE(""1e7--NjE9N54w7uxIeTVQ2x149gW2CjGTf8gPedLtEqw"",""CRB!BZ5:BZ45"")"),60.0)</f>
        <v>60</v>
      </c>
      <c r="K362" s="7">
        <f>IFERROR(__xludf.DUMMYFUNCTION("IMPORTRANGE(""1e7--NjE9N54w7uxIeTVQ2x149gW2CjGTf8gPedLtEqw"",""DLP!BZ5:BZ45"")"),60.0)</f>
        <v>60</v>
      </c>
      <c r="L362" s="7">
        <f>IFERROR(__xludf.DUMMYFUNCTION("IMPORTRANGE(""1e7--NjE9N54w7uxIeTVQ2x149gW2CjGTf8gPedLtEqw"",""MTN!BZ5:BZ45"")"),60.0)</f>
        <v>60</v>
      </c>
    </row>
    <row r="363" ht="15.75" customHeight="1">
      <c r="A363" s="5" t="s">
        <v>44</v>
      </c>
      <c r="B363" s="5">
        <v>2.0</v>
      </c>
      <c r="C363" s="5" t="s">
        <v>21</v>
      </c>
      <c r="D363" s="5" t="s">
        <v>40</v>
      </c>
      <c r="E363" s="5">
        <v>12.0</v>
      </c>
      <c r="F363" s="7">
        <f>IFERROR(__xludf.DUMMYFUNCTION("""COMPUTED_VALUE"""),572.534170988993)</f>
        <v>572.534171</v>
      </c>
      <c r="G363" s="7">
        <f>IFERROR(__xludf.DUMMYFUNCTION("""COMPUTED_VALUE"""),843.302555711929)</f>
        <v>843.3025557</v>
      </c>
      <c r="H363" s="7">
        <f>IFERROR(__xludf.DUMMYFUNCTION("""COMPUTED_VALUE"""),880.713619368911)</f>
        <v>880.7136194</v>
      </c>
      <c r="I363" s="7">
        <f>IFERROR(__xludf.DUMMYFUNCTION("""COMPUTED_VALUE"""),578.528758626273)</f>
        <v>578.5287586</v>
      </c>
      <c r="J363" s="7">
        <f>IFERROR(__xludf.DUMMYFUNCTION("""COMPUTED_VALUE"""),592.359148528849)</f>
        <v>592.3591485</v>
      </c>
      <c r="K363" s="7">
        <f>IFERROR(__xludf.DUMMYFUNCTION("""COMPUTED_VALUE"""),652.36087262418)</f>
        <v>652.3608726</v>
      </c>
      <c r="L363" s="7">
        <f>IFERROR(__xludf.DUMMYFUNCTION("""COMPUTED_VALUE"""),1224.12101086974)</f>
        <v>1224.121011</v>
      </c>
    </row>
    <row r="364" ht="15.75" customHeight="1">
      <c r="A364" s="5" t="s">
        <v>44</v>
      </c>
      <c r="B364" s="5">
        <v>3.0</v>
      </c>
      <c r="C364" s="5" t="s">
        <v>48</v>
      </c>
      <c r="D364" s="8" t="s">
        <v>49</v>
      </c>
      <c r="E364" s="5">
        <v>14.0</v>
      </c>
      <c r="F364" s="5"/>
      <c r="G364" s="5"/>
      <c r="H364" s="5"/>
      <c r="I364" s="5"/>
      <c r="J364" s="5"/>
      <c r="K364" s="5"/>
      <c r="L364" s="5"/>
    </row>
    <row r="365" ht="15.75" customHeight="1">
      <c r="A365" s="5" t="s">
        <v>44</v>
      </c>
      <c r="C365" s="5" t="s">
        <v>21</v>
      </c>
      <c r="D365" s="5" t="s">
        <v>51</v>
      </c>
      <c r="E365" s="5">
        <v>6.0</v>
      </c>
      <c r="F365" s="7">
        <f>IFERROR(__xludf.DUMMYFUNCTION("""COMPUTED_VALUE"""),2644.4021454883778)</f>
        <v>2644.402145</v>
      </c>
      <c r="G365" s="7">
        <f>IFERROR(__xludf.DUMMYFUNCTION("""COMPUTED_VALUE"""),2971.651705591302)</f>
        <v>2971.651706</v>
      </c>
      <c r="H365" s="7">
        <f>IFERROR(__xludf.DUMMYFUNCTION("""COMPUTED_VALUE"""),4535.722839146029)</f>
        <v>4535.722839</v>
      </c>
      <c r="I365" s="7">
        <f>IFERROR(__xludf.DUMMYFUNCTION("""COMPUTED_VALUE"""),2075.8627911865997)</f>
        <v>2075.862791</v>
      </c>
      <c r="J365" s="7">
        <f>IFERROR(__xludf.DUMMYFUNCTION("""COMPUTED_VALUE"""),6073.016323638679)</f>
        <v>6073.016324</v>
      </c>
      <c r="K365" s="7">
        <f>IFERROR(__xludf.DUMMYFUNCTION("""COMPUTED_VALUE"""),6490.3941687848555)</f>
        <v>6490.394169</v>
      </c>
      <c r="L365" s="7">
        <f>IFERROR(__xludf.DUMMYFUNCTION("""COMPUTED_VALUE"""),1135.2979338598511)</f>
        <v>1135.297934</v>
      </c>
    </row>
    <row r="366" ht="15.75" customHeight="1">
      <c r="A366" s="5" t="s">
        <v>44</v>
      </c>
      <c r="C366" s="5" t="s">
        <v>21</v>
      </c>
      <c r="D366" s="5" t="s">
        <v>53</v>
      </c>
      <c r="E366" s="5">
        <v>6.0</v>
      </c>
      <c r="F366" s="7">
        <f>IFERROR(__xludf.DUMMYFUNCTION("""COMPUTED_VALUE"""),37.48894162582674)</f>
        <v>37.48894163</v>
      </c>
      <c r="G366" s="7">
        <f>IFERROR(__xludf.DUMMYFUNCTION("""COMPUTED_VALUE"""),86.87133043838323)</f>
        <v>86.87133044</v>
      </c>
      <c r="H366" s="7">
        <f>IFERROR(__xludf.DUMMYFUNCTION("""COMPUTED_VALUE"""),78.59865681455274)</f>
        <v>78.59865681</v>
      </c>
      <c r="I366" s="7">
        <f>IFERROR(__xludf.DUMMYFUNCTION("""COMPUTED_VALUE"""),43.62605351274582)</f>
        <v>43.62605351</v>
      </c>
      <c r="J366" s="7">
        <f>IFERROR(__xludf.DUMMYFUNCTION("""COMPUTED_VALUE"""),83.87442525164658)</f>
        <v>83.87442525</v>
      </c>
      <c r="K366" s="7">
        <f>IFERROR(__xludf.DUMMYFUNCTION("""COMPUTED_VALUE"""),90.78515889114266)</f>
        <v>90.78515889</v>
      </c>
      <c r="L366" s="7">
        <f>IFERROR(__xludf.DUMMYFUNCTION("""COMPUTED_VALUE"""),23.115840505259413)</f>
        <v>23.11584051</v>
      </c>
    </row>
    <row r="367" ht="15.75" customHeight="1">
      <c r="A367" s="5" t="s">
        <v>44</v>
      </c>
      <c r="C367" s="5" t="s">
        <v>21</v>
      </c>
      <c r="D367" s="5" t="s">
        <v>55</v>
      </c>
      <c r="E367" s="5">
        <v>2.0</v>
      </c>
      <c r="F367" s="7">
        <f>IFERROR(__xludf.DUMMYFUNCTION("""COMPUTED_VALUE"""),1361.4038989415426)</f>
        <v>1361.403899</v>
      </c>
      <c r="G367" s="7">
        <f>IFERROR(__xludf.DUMMYFUNCTION("""COMPUTED_VALUE"""),1239.288864596818)</f>
        <v>1239.288865</v>
      </c>
      <c r="H367" s="7">
        <f>IFERROR(__xludf.DUMMYFUNCTION("""COMPUTED_VALUE"""),3903.9330601665156)</f>
        <v>3903.93306</v>
      </c>
      <c r="I367" s="7">
        <f>IFERROR(__xludf.DUMMYFUNCTION("""COMPUTED_VALUE"""),557.6308459828844)</f>
        <v>557.630846</v>
      </c>
      <c r="J367" s="7">
        <f>IFERROR(__xludf.DUMMYFUNCTION("""COMPUTED_VALUE"""),1803.3201608688755)</f>
        <v>1803.320161</v>
      </c>
      <c r="K367" s="7">
        <f>IFERROR(__xludf.DUMMYFUNCTION("""COMPUTED_VALUE"""),2139.021806744931)</f>
        <v>2139.021807</v>
      </c>
      <c r="L367" s="7">
        <f>IFERROR(__xludf.DUMMYFUNCTION("""COMPUTED_VALUE"""),324.46240129913275)</f>
        <v>324.4624013</v>
      </c>
    </row>
    <row r="368" ht="15.75" customHeight="1">
      <c r="A368" s="5" t="s">
        <v>44</v>
      </c>
      <c r="B368" s="5">
        <v>4.0</v>
      </c>
      <c r="C368" s="5" t="s">
        <v>48</v>
      </c>
      <c r="D368" s="8" t="s">
        <v>62</v>
      </c>
      <c r="E368" s="5">
        <v>10.0</v>
      </c>
      <c r="F368" s="5"/>
      <c r="G368" s="5"/>
      <c r="H368" s="5"/>
      <c r="I368" s="5"/>
      <c r="J368" s="5"/>
      <c r="K368" s="5"/>
      <c r="L368" s="5"/>
    </row>
    <row r="369" ht="15.75" customHeight="1">
      <c r="A369" s="5" t="s">
        <v>44</v>
      </c>
      <c r="C369" s="5" t="s">
        <v>21</v>
      </c>
      <c r="D369" s="5" t="s">
        <v>64</v>
      </c>
      <c r="E369" s="5">
        <v>5.0</v>
      </c>
      <c r="F369" s="7">
        <f>IFERROR(__xludf.DUMMYFUNCTION("""COMPUTED_VALUE"""),0.0)</f>
        <v>0</v>
      </c>
      <c r="G369" s="7">
        <f>IFERROR(__xludf.DUMMYFUNCTION("""COMPUTED_VALUE"""),0.0)</f>
        <v>0</v>
      </c>
      <c r="H369" s="7">
        <f>IFERROR(__xludf.DUMMYFUNCTION("""COMPUTED_VALUE"""),0.0)</f>
        <v>0</v>
      </c>
      <c r="I369" s="7">
        <f>IFERROR(__xludf.DUMMYFUNCTION("""COMPUTED_VALUE"""),0.0)</f>
        <v>0</v>
      </c>
      <c r="J369" s="7">
        <f>IFERROR(__xludf.DUMMYFUNCTION("""COMPUTED_VALUE"""),0.0)</f>
        <v>0</v>
      </c>
      <c r="K369" s="7">
        <f>IFERROR(__xludf.DUMMYFUNCTION("""COMPUTED_VALUE"""),0.0)</f>
        <v>0</v>
      </c>
      <c r="L369" s="7">
        <f>IFERROR(__xludf.DUMMYFUNCTION("""COMPUTED_VALUE"""),0.0)</f>
        <v>0</v>
      </c>
    </row>
    <row r="370" ht="15.75" customHeight="1">
      <c r="A370" s="5" t="s">
        <v>44</v>
      </c>
      <c r="C370" s="5" t="s">
        <v>21</v>
      </c>
      <c r="D370" s="5" t="s">
        <v>70</v>
      </c>
      <c r="F370" s="7">
        <f>IFERROR(__xludf.DUMMYFUNCTION("""COMPUTED_VALUE"""),0.0)</f>
        <v>0</v>
      </c>
      <c r="G370" s="7">
        <f>IFERROR(__xludf.DUMMYFUNCTION("""COMPUTED_VALUE"""),0.0)</f>
        <v>0</v>
      </c>
      <c r="H370" s="7">
        <f>IFERROR(__xludf.DUMMYFUNCTION("""COMPUTED_VALUE"""),0.0)</f>
        <v>0</v>
      </c>
      <c r="I370" s="7">
        <f>IFERROR(__xludf.DUMMYFUNCTION("""COMPUTED_VALUE"""),0.0)</f>
        <v>0</v>
      </c>
      <c r="J370" s="7">
        <f>IFERROR(__xludf.DUMMYFUNCTION("""COMPUTED_VALUE"""),0.0)</f>
        <v>0</v>
      </c>
      <c r="K370" s="7">
        <f>IFERROR(__xludf.DUMMYFUNCTION("""COMPUTED_VALUE"""),0.0)</f>
        <v>0</v>
      </c>
      <c r="L370" s="7">
        <f>IFERROR(__xludf.DUMMYFUNCTION("""COMPUTED_VALUE"""),0.0)</f>
        <v>0</v>
      </c>
    </row>
    <row r="371" ht="15.75" customHeight="1">
      <c r="A371" s="5" t="s">
        <v>44</v>
      </c>
      <c r="C371" s="5" t="s">
        <v>21</v>
      </c>
      <c r="D371" s="5" t="s">
        <v>73</v>
      </c>
      <c r="F371" s="7">
        <f>IFERROR(__xludf.DUMMYFUNCTION("""COMPUTED_VALUE"""),0.0)</f>
        <v>0</v>
      </c>
      <c r="G371" s="7">
        <f>IFERROR(__xludf.DUMMYFUNCTION("""COMPUTED_VALUE"""),0.0)</f>
        <v>0</v>
      </c>
      <c r="H371" s="7">
        <f>IFERROR(__xludf.DUMMYFUNCTION("""COMPUTED_VALUE"""),0.0)</f>
        <v>0</v>
      </c>
      <c r="I371" s="7">
        <f>IFERROR(__xludf.DUMMYFUNCTION("""COMPUTED_VALUE"""),0.0)</f>
        <v>0</v>
      </c>
      <c r="J371" s="7">
        <f>IFERROR(__xludf.DUMMYFUNCTION("""COMPUTED_VALUE"""),0.0)</f>
        <v>0</v>
      </c>
      <c r="K371" s="7">
        <f>IFERROR(__xludf.DUMMYFUNCTION("""COMPUTED_VALUE"""),0.0)</f>
        <v>0</v>
      </c>
      <c r="L371" s="7">
        <f>IFERROR(__xludf.DUMMYFUNCTION("""COMPUTED_VALUE"""),0.0)</f>
        <v>0</v>
      </c>
    </row>
    <row r="372" ht="15.75" customHeight="1">
      <c r="A372" s="5" t="s">
        <v>44</v>
      </c>
      <c r="C372" s="5" t="s">
        <v>21</v>
      </c>
      <c r="D372" s="5" t="s">
        <v>74</v>
      </c>
      <c r="F372" s="7">
        <f>IFERROR(__xludf.DUMMYFUNCTION("""COMPUTED_VALUE"""),0.0)</f>
        <v>0</v>
      </c>
      <c r="G372" s="7">
        <f>IFERROR(__xludf.DUMMYFUNCTION("""COMPUTED_VALUE"""),0.0)</f>
        <v>0</v>
      </c>
      <c r="H372" s="7">
        <f>IFERROR(__xludf.DUMMYFUNCTION("""COMPUTED_VALUE"""),0.0)</f>
        <v>0</v>
      </c>
      <c r="I372" s="7">
        <f>IFERROR(__xludf.DUMMYFUNCTION("""COMPUTED_VALUE"""),0.0)</f>
        <v>0</v>
      </c>
      <c r="J372" s="7">
        <f>IFERROR(__xludf.DUMMYFUNCTION("""COMPUTED_VALUE"""),0.0)</f>
        <v>0</v>
      </c>
      <c r="K372" s="7">
        <f>IFERROR(__xludf.DUMMYFUNCTION("""COMPUTED_VALUE"""),0.0)</f>
        <v>0</v>
      </c>
      <c r="L372" s="7">
        <f>IFERROR(__xludf.DUMMYFUNCTION("""COMPUTED_VALUE"""),0.0)</f>
        <v>0</v>
      </c>
    </row>
    <row r="373" ht="15.75" customHeight="1">
      <c r="A373" s="5" t="s">
        <v>44</v>
      </c>
      <c r="C373" s="5" t="s">
        <v>21</v>
      </c>
      <c r="D373" s="5" t="s">
        <v>75</v>
      </c>
      <c r="E373" s="5">
        <v>5.0</v>
      </c>
      <c r="F373" s="7">
        <f>IFERROR(__xludf.DUMMYFUNCTION("""COMPUTED_VALUE"""),100.0)</f>
        <v>100</v>
      </c>
      <c r="G373" s="7">
        <f>IFERROR(__xludf.DUMMYFUNCTION("""COMPUTED_VALUE"""),100.0)</f>
        <v>100</v>
      </c>
      <c r="H373" s="7">
        <f>IFERROR(__xludf.DUMMYFUNCTION("""COMPUTED_VALUE"""),100.0)</f>
        <v>100</v>
      </c>
      <c r="I373" s="7">
        <f>IFERROR(__xludf.DUMMYFUNCTION("""COMPUTED_VALUE"""),100.0)</f>
        <v>100</v>
      </c>
      <c r="J373" s="7">
        <f>IFERROR(__xludf.DUMMYFUNCTION("""COMPUTED_VALUE"""),100.0)</f>
        <v>100</v>
      </c>
      <c r="K373" s="7">
        <f>IFERROR(__xludf.DUMMYFUNCTION("""COMPUTED_VALUE"""),100.0)</f>
        <v>100</v>
      </c>
      <c r="L373" s="7">
        <f>IFERROR(__xludf.DUMMYFUNCTION("""COMPUTED_VALUE"""),100.0)</f>
        <v>100</v>
      </c>
    </row>
    <row r="374" ht="15.75" customHeight="1">
      <c r="A374" s="5" t="s">
        <v>44</v>
      </c>
      <c r="B374" s="5">
        <v>5.0</v>
      </c>
      <c r="C374" s="5" t="s">
        <v>48</v>
      </c>
      <c r="D374" s="8" t="s">
        <v>76</v>
      </c>
      <c r="E374" s="5">
        <v>10.0</v>
      </c>
      <c r="F374" s="5"/>
      <c r="G374" s="5"/>
      <c r="H374" s="5"/>
      <c r="I374" s="5"/>
      <c r="J374" s="5"/>
      <c r="K374" s="5"/>
      <c r="L374" s="5"/>
    </row>
    <row r="375" ht="15.75" customHeight="1">
      <c r="A375" s="5" t="s">
        <v>44</v>
      </c>
      <c r="C375" s="5" t="s">
        <v>21</v>
      </c>
      <c r="D375" s="5" t="s">
        <v>79</v>
      </c>
      <c r="E375" s="5">
        <v>0.5</v>
      </c>
      <c r="F375" s="7">
        <f>IFERROR(__xludf.DUMMYFUNCTION("""COMPUTED_VALUE"""),0.0)</f>
        <v>0</v>
      </c>
      <c r="G375" s="7">
        <f>IFERROR(__xludf.DUMMYFUNCTION("""COMPUTED_VALUE"""),0.0)</f>
        <v>0</v>
      </c>
      <c r="H375" s="7">
        <f>IFERROR(__xludf.DUMMYFUNCTION("""COMPUTED_VALUE"""),0.0)</f>
        <v>0</v>
      </c>
      <c r="I375" s="7">
        <f>IFERROR(__xludf.DUMMYFUNCTION("""COMPUTED_VALUE"""),0.0)</f>
        <v>0</v>
      </c>
      <c r="J375" s="7">
        <f>IFERROR(__xludf.DUMMYFUNCTION("""COMPUTED_VALUE"""),0.0)</f>
        <v>0</v>
      </c>
      <c r="K375" s="7">
        <f>IFERROR(__xludf.DUMMYFUNCTION("""COMPUTED_VALUE"""),0.0)</f>
        <v>0</v>
      </c>
      <c r="L375" s="7">
        <f>IFERROR(__xludf.DUMMYFUNCTION("""COMPUTED_VALUE"""),0.0)</f>
        <v>0</v>
      </c>
    </row>
    <row r="376" ht="15.75" customHeight="1">
      <c r="A376" s="5" t="s">
        <v>44</v>
      </c>
      <c r="C376" s="5" t="s">
        <v>21</v>
      </c>
      <c r="D376" s="5" t="s">
        <v>81</v>
      </c>
      <c r="E376" s="5">
        <v>1.5</v>
      </c>
      <c r="F376" s="7">
        <f>IFERROR(__xludf.DUMMYFUNCTION("""COMPUTED_VALUE"""),0.0)</f>
        <v>0</v>
      </c>
      <c r="G376" s="7">
        <f>IFERROR(__xludf.DUMMYFUNCTION("""COMPUTED_VALUE"""),0.0)</f>
        <v>0</v>
      </c>
      <c r="H376" s="7">
        <f>IFERROR(__xludf.DUMMYFUNCTION("""COMPUTED_VALUE"""),0.0)</f>
        <v>0</v>
      </c>
      <c r="I376" s="7">
        <f>IFERROR(__xludf.DUMMYFUNCTION("""COMPUTED_VALUE"""),0.0)</f>
        <v>0</v>
      </c>
      <c r="J376" s="7">
        <f>IFERROR(__xludf.DUMMYFUNCTION("""COMPUTED_VALUE"""),0.0)</f>
        <v>0</v>
      </c>
      <c r="K376" s="7">
        <f>IFERROR(__xludf.DUMMYFUNCTION("""COMPUTED_VALUE"""),0.0)</f>
        <v>0</v>
      </c>
      <c r="L376" s="7">
        <f>IFERROR(__xludf.DUMMYFUNCTION("""COMPUTED_VALUE"""),0.0)</f>
        <v>0</v>
      </c>
    </row>
    <row r="377" ht="15.75" customHeight="1">
      <c r="A377" s="5" t="s">
        <v>44</v>
      </c>
      <c r="C377" s="5" t="s">
        <v>21</v>
      </c>
      <c r="D377" s="5" t="s">
        <v>82</v>
      </c>
      <c r="E377" s="5">
        <v>2.0</v>
      </c>
      <c r="F377" s="7">
        <f>IFERROR(__xludf.DUMMYFUNCTION("""COMPUTED_VALUE"""),0.0)</f>
        <v>0</v>
      </c>
      <c r="G377" s="7">
        <f>IFERROR(__xludf.DUMMYFUNCTION("""COMPUTED_VALUE"""),0.0)</f>
        <v>0</v>
      </c>
      <c r="H377" s="7">
        <f>IFERROR(__xludf.DUMMYFUNCTION("""COMPUTED_VALUE"""),0.0)</f>
        <v>0</v>
      </c>
      <c r="I377" s="7">
        <f>IFERROR(__xludf.DUMMYFUNCTION("""COMPUTED_VALUE"""),0.0)</f>
        <v>0</v>
      </c>
      <c r="J377" s="7">
        <f>IFERROR(__xludf.DUMMYFUNCTION("""COMPUTED_VALUE"""),0.0)</f>
        <v>0</v>
      </c>
      <c r="K377" s="7">
        <f>IFERROR(__xludf.DUMMYFUNCTION("""COMPUTED_VALUE"""),0.0)</f>
        <v>0</v>
      </c>
      <c r="L377" s="7">
        <f>IFERROR(__xludf.DUMMYFUNCTION("""COMPUTED_VALUE"""),0.0)</f>
        <v>0</v>
      </c>
    </row>
    <row r="378" ht="15.75" customHeight="1">
      <c r="A378" s="5" t="s">
        <v>44</v>
      </c>
      <c r="C378" s="5" t="s">
        <v>21</v>
      </c>
      <c r="D378" s="5" t="s">
        <v>83</v>
      </c>
      <c r="E378" s="5">
        <v>4.0</v>
      </c>
      <c r="F378" s="7">
        <f>IFERROR(__xludf.DUMMYFUNCTION("""COMPUTED_VALUE"""),100.0)</f>
        <v>100</v>
      </c>
      <c r="G378" s="7">
        <f>IFERROR(__xludf.DUMMYFUNCTION("""COMPUTED_VALUE"""),0.0)</f>
        <v>0</v>
      </c>
      <c r="H378" s="7">
        <f>IFERROR(__xludf.DUMMYFUNCTION("""COMPUTED_VALUE"""),0.0)</f>
        <v>0</v>
      </c>
      <c r="I378" s="7">
        <f>IFERROR(__xludf.DUMMYFUNCTION("""COMPUTED_VALUE"""),100.0)</f>
        <v>100</v>
      </c>
      <c r="J378" s="7">
        <f>IFERROR(__xludf.DUMMYFUNCTION("""COMPUTED_VALUE"""),0.0)</f>
        <v>0</v>
      </c>
      <c r="K378" s="7">
        <f>IFERROR(__xludf.DUMMYFUNCTION("""COMPUTED_VALUE"""),100.0)</f>
        <v>100</v>
      </c>
      <c r="L378" s="7">
        <f>IFERROR(__xludf.DUMMYFUNCTION("""COMPUTED_VALUE"""),0.0)</f>
        <v>0</v>
      </c>
    </row>
    <row r="379" ht="15.75" customHeight="1">
      <c r="A379" s="5" t="s">
        <v>44</v>
      </c>
      <c r="C379" s="5" t="s">
        <v>21</v>
      </c>
      <c r="D379" s="5" t="s">
        <v>84</v>
      </c>
      <c r="E379" s="5">
        <v>2.0</v>
      </c>
      <c r="F379" s="7">
        <f>IFERROR(__xludf.DUMMYFUNCTION("""COMPUTED_VALUE"""),100.0)</f>
        <v>100</v>
      </c>
      <c r="G379" s="7">
        <f>IFERROR(__xludf.DUMMYFUNCTION("""COMPUTED_VALUE"""),0.0)</f>
        <v>0</v>
      </c>
      <c r="H379" s="7">
        <f>IFERROR(__xludf.DUMMYFUNCTION("""COMPUTED_VALUE"""),0.0)</f>
        <v>0</v>
      </c>
      <c r="I379" s="7">
        <f>IFERROR(__xludf.DUMMYFUNCTION("""COMPUTED_VALUE"""),100.0)</f>
        <v>100</v>
      </c>
      <c r="J379" s="7">
        <f>IFERROR(__xludf.DUMMYFUNCTION("""COMPUTED_VALUE"""),0.0)</f>
        <v>0</v>
      </c>
      <c r="K379" s="7">
        <f>IFERROR(__xludf.DUMMYFUNCTION("""COMPUTED_VALUE"""),100.0)</f>
        <v>100</v>
      </c>
      <c r="L379" s="7">
        <f>IFERROR(__xludf.DUMMYFUNCTION("""COMPUTED_VALUE"""),0.0)</f>
        <v>0</v>
      </c>
    </row>
    <row r="380" ht="15.75" customHeight="1">
      <c r="A380" s="5" t="s">
        <v>44</v>
      </c>
      <c r="B380" s="5">
        <v>6.0</v>
      </c>
      <c r="C380" s="5" t="s">
        <v>48</v>
      </c>
      <c r="D380" s="8" t="s">
        <v>85</v>
      </c>
      <c r="E380" s="5">
        <v>8.0</v>
      </c>
      <c r="F380" s="5"/>
      <c r="G380" s="5"/>
      <c r="H380" s="5"/>
      <c r="I380" s="5"/>
      <c r="J380" s="5"/>
      <c r="K380" s="5"/>
      <c r="L380" s="5"/>
    </row>
    <row r="381" ht="15.75" customHeight="1">
      <c r="A381" s="5" t="s">
        <v>44</v>
      </c>
      <c r="C381" s="5" t="s">
        <v>21</v>
      </c>
      <c r="D381" s="5" t="s">
        <v>86</v>
      </c>
      <c r="E381" s="5">
        <v>2.0</v>
      </c>
      <c r="F381" s="7">
        <f>IFERROR(__xludf.DUMMYFUNCTION("""COMPUTED_VALUE"""),200.0)</f>
        <v>200</v>
      </c>
      <c r="G381" s="7">
        <f>IFERROR(__xludf.DUMMYFUNCTION("""COMPUTED_VALUE"""),100.0)</f>
        <v>100</v>
      </c>
      <c r="H381" s="7">
        <f>IFERROR(__xludf.DUMMYFUNCTION("""COMPUTED_VALUE"""),500.0)</f>
        <v>500</v>
      </c>
      <c r="I381" s="7">
        <f>IFERROR(__xludf.DUMMYFUNCTION("""COMPUTED_VALUE"""),200.0)</f>
        <v>200</v>
      </c>
      <c r="J381" s="7">
        <f>IFERROR(__xludf.DUMMYFUNCTION("""COMPUTED_VALUE"""),100.0)</f>
        <v>100</v>
      </c>
      <c r="K381" s="7">
        <f>IFERROR(__xludf.DUMMYFUNCTION("""COMPUTED_VALUE"""),200.0)</f>
        <v>200</v>
      </c>
      <c r="L381" s="7">
        <f>IFERROR(__xludf.DUMMYFUNCTION("""COMPUTED_VALUE"""),100.0)</f>
        <v>100</v>
      </c>
    </row>
    <row r="382" ht="15.75" customHeight="1">
      <c r="A382" s="5" t="s">
        <v>44</v>
      </c>
      <c r="C382" s="5" t="s">
        <v>21</v>
      </c>
      <c r="D382" s="5" t="s">
        <v>87</v>
      </c>
      <c r="E382" s="5">
        <v>2.0</v>
      </c>
      <c r="F382" s="7">
        <f>IFERROR(__xludf.DUMMYFUNCTION("""COMPUTED_VALUE"""),3000.0)</f>
        <v>3000</v>
      </c>
      <c r="G382" s="7">
        <f>IFERROR(__xludf.DUMMYFUNCTION("""COMPUTED_VALUE"""),3000.0)</f>
        <v>3000</v>
      </c>
      <c r="H382" s="7">
        <f>IFERROR(__xludf.DUMMYFUNCTION("""COMPUTED_VALUE"""),3000.0)</f>
        <v>3000</v>
      </c>
      <c r="I382" s="7">
        <f>IFERROR(__xludf.DUMMYFUNCTION("""COMPUTED_VALUE"""),3000.0)</f>
        <v>3000</v>
      </c>
      <c r="J382" s="7">
        <f>IFERROR(__xludf.DUMMYFUNCTION("""COMPUTED_VALUE"""),3000.0)</f>
        <v>3000</v>
      </c>
      <c r="K382" s="7">
        <f>IFERROR(__xludf.DUMMYFUNCTION("""COMPUTED_VALUE"""),3000.0)</f>
        <v>3000</v>
      </c>
      <c r="L382" s="7">
        <f>IFERROR(__xludf.DUMMYFUNCTION("""COMPUTED_VALUE"""),3000.0)</f>
        <v>3000</v>
      </c>
    </row>
    <row r="383" ht="15.75" customHeight="1">
      <c r="A383" s="5" t="s">
        <v>44</v>
      </c>
      <c r="C383" s="5" t="s">
        <v>21</v>
      </c>
      <c r="D383" s="5" t="s">
        <v>88</v>
      </c>
      <c r="E383" s="5">
        <v>2.0</v>
      </c>
      <c r="F383" s="7">
        <f>IFERROR(__xludf.DUMMYFUNCTION("""COMPUTED_VALUE"""),0.0)</f>
        <v>0</v>
      </c>
      <c r="G383" s="7">
        <f>IFERROR(__xludf.DUMMYFUNCTION("""COMPUTED_VALUE"""),0.0)</f>
        <v>0</v>
      </c>
      <c r="H383" s="7">
        <f>IFERROR(__xludf.DUMMYFUNCTION("""COMPUTED_VALUE"""),0.0)</f>
        <v>0</v>
      </c>
      <c r="I383" s="7">
        <f>IFERROR(__xludf.DUMMYFUNCTION("""COMPUTED_VALUE"""),0.0)</f>
        <v>0</v>
      </c>
      <c r="J383" s="7">
        <f>IFERROR(__xludf.DUMMYFUNCTION("""COMPUTED_VALUE"""),0.0)</f>
        <v>0</v>
      </c>
      <c r="K383" s="7">
        <f>IFERROR(__xludf.DUMMYFUNCTION("""COMPUTED_VALUE"""),0.0)</f>
        <v>0</v>
      </c>
      <c r="L383" s="7">
        <f>IFERROR(__xludf.DUMMYFUNCTION("""COMPUTED_VALUE"""),0.0)</f>
        <v>0</v>
      </c>
    </row>
    <row r="384" ht="15.75" customHeight="1">
      <c r="A384" s="5" t="s">
        <v>44</v>
      </c>
      <c r="C384" s="5" t="s">
        <v>21</v>
      </c>
      <c r="D384" s="5" t="s">
        <v>89</v>
      </c>
      <c r="E384" s="5">
        <v>1.2</v>
      </c>
      <c r="F384" s="7">
        <f>IFERROR(__xludf.DUMMYFUNCTION("""COMPUTED_VALUE"""),0.0)</f>
        <v>0</v>
      </c>
      <c r="G384" s="7">
        <f>IFERROR(__xludf.DUMMYFUNCTION("""COMPUTED_VALUE"""),0.0)</f>
        <v>0</v>
      </c>
      <c r="H384" s="7">
        <f>IFERROR(__xludf.DUMMYFUNCTION("""COMPUTED_VALUE"""),0.0)</f>
        <v>0</v>
      </c>
      <c r="I384" s="7">
        <f>IFERROR(__xludf.DUMMYFUNCTION("""COMPUTED_VALUE"""),0.0)</f>
        <v>0</v>
      </c>
      <c r="J384" s="7">
        <f>IFERROR(__xludf.DUMMYFUNCTION("""COMPUTED_VALUE"""),0.0)</f>
        <v>0</v>
      </c>
      <c r="K384" s="7">
        <f>IFERROR(__xludf.DUMMYFUNCTION("""COMPUTED_VALUE"""),0.0)</f>
        <v>0</v>
      </c>
      <c r="L384" s="7">
        <f>IFERROR(__xludf.DUMMYFUNCTION("""COMPUTED_VALUE"""),0.0)</f>
        <v>0</v>
      </c>
    </row>
    <row r="385" ht="15.75" customHeight="1">
      <c r="A385" s="5" t="s">
        <v>44</v>
      </c>
      <c r="C385" s="5" t="s">
        <v>21</v>
      </c>
      <c r="D385" s="5" t="s">
        <v>92</v>
      </c>
      <c r="E385" s="5">
        <v>0.8</v>
      </c>
      <c r="F385" s="7">
        <f>IFERROR(__xludf.DUMMYFUNCTION("""COMPUTED_VALUE"""),0.0)</f>
        <v>0</v>
      </c>
      <c r="G385" s="7">
        <f>IFERROR(__xludf.DUMMYFUNCTION("""COMPUTED_VALUE"""),0.0)</f>
        <v>0</v>
      </c>
      <c r="H385" s="7">
        <f>IFERROR(__xludf.DUMMYFUNCTION("""COMPUTED_VALUE"""),0.0)</f>
        <v>0</v>
      </c>
      <c r="I385" s="7">
        <f>IFERROR(__xludf.DUMMYFUNCTION("""COMPUTED_VALUE"""),0.0)</f>
        <v>0</v>
      </c>
      <c r="J385" s="7">
        <f>IFERROR(__xludf.DUMMYFUNCTION("""COMPUTED_VALUE"""),0.0)</f>
        <v>0</v>
      </c>
      <c r="K385" s="7">
        <f>IFERROR(__xludf.DUMMYFUNCTION("""COMPUTED_VALUE"""),0.0)</f>
        <v>0</v>
      </c>
      <c r="L385" s="7">
        <f>IFERROR(__xludf.DUMMYFUNCTION("""COMPUTED_VALUE"""),0.0)</f>
        <v>0</v>
      </c>
    </row>
    <row r="386" ht="15.75" customHeight="1">
      <c r="A386" s="5" t="s">
        <v>44</v>
      </c>
      <c r="B386" s="5">
        <v>7.0</v>
      </c>
      <c r="C386" s="5" t="s">
        <v>48</v>
      </c>
      <c r="D386" s="8" t="s">
        <v>94</v>
      </c>
      <c r="E386" s="5">
        <v>7.0</v>
      </c>
      <c r="F386" s="5"/>
      <c r="G386" s="5"/>
      <c r="H386" s="5"/>
      <c r="I386" s="5"/>
      <c r="J386" s="5"/>
      <c r="K386" s="5"/>
      <c r="L386" s="5"/>
    </row>
    <row r="387" ht="15.75" customHeight="1">
      <c r="A387" s="5" t="s">
        <v>44</v>
      </c>
      <c r="C387" s="5" t="s">
        <v>21</v>
      </c>
      <c r="D387" s="5" t="s">
        <v>95</v>
      </c>
      <c r="E387" s="5">
        <v>5.0</v>
      </c>
      <c r="F387" s="7">
        <f>IFERROR(__xludf.DUMMYFUNCTION("""COMPUTED_VALUE"""),17100.0)</f>
        <v>17100</v>
      </c>
      <c r="G387" s="7">
        <f>IFERROR(__xludf.DUMMYFUNCTION("""COMPUTED_VALUE"""),23300.0)</f>
        <v>23300</v>
      </c>
      <c r="H387" s="7">
        <f>IFERROR(__xludf.DUMMYFUNCTION("""COMPUTED_VALUE"""),46700.0)</f>
        <v>46700</v>
      </c>
      <c r="I387" s="7">
        <f>IFERROR(__xludf.DUMMYFUNCTION("""COMPUTED_VALUE"""),10700.0)</f>
        <v>10700</v>
      </c>
      <c r="J387" s="7">
        <f>IFERROR(__xludf.DUMMYFUNCTION("""COMPUTED_VALUE"""),25100.0)</f>
        <v>25100</v>
      </c>
      <c r="K387" s="7">
        <f>IFERROR(__xludf.DUMMYFUNCTION("""COMPUTED_VALUE"""),23200.0)</f>
        <v>23200</v>
      </c>
      <c r="L387" s="7">
        <f>IFERROR(__xludf.DUMMYFUNCTION("""COMPUTED_VALUE"""),16000.0)</f>
        <v>16000</v>
      </c>
    </row>
    <row r="388" ht="15.75" customHeight="1">
      <c r="A388" s="5" t="s">
        <v>44</v>
      </c>
      <c r="C388" s="5" t="s">
        <v>21</v>
      </c>
      <c r="D388" s="5" t="s">
        <v>96</v>
      </c>
      <c r="E388" s="5">
        <v>2.0</v>
      </c>
      <c r="F388" s="7">
        <f>IFERROR(__xludf.DUMMYFUNCTION("""COMPUTED_VALUE"""),600.0)</f>
        <v>600</v>
      </c>
      <c r="G388" s="7">
        <f>IFERROR(__xludf.DUMMYFUNCTION("""COMPUTED_VALUE"""),500.0)</f>
        <v>500</v>
      </c>
      <c r="H388" s="7">
        <f>IFERROR(__xludf.DUMMYFUNCTION("""COMPUTED_VALUE"""),700.0)</f>
        <v>700</v>
      </c>
      <c r="I388" s="7">
        <f>IFERROR(__xludf.DUMMYFUNCTION("""COMPUTED_VALUE"""),500.0)</f>
        <v>500</v>
      </c>
      <c r="J388" s="7">
        <f>IFERROR(__xludf.DUMMYFUNCTION("""COMPUTED_VALUE"""),500.0)</f>
        <v>500</v>
      </c>
      <c r="K388" s="7">
        <f>IFERROR(__xludf.DUMMYFUNCTION("""COMPUTED_VALUE"""),600.0)</f>
        <v>600</v>
      </c>
      <c r="L388" s="7">
        <f>IFERROR(__xludf.DUMMYFUNCTION("""COMPUTED_VALUE"""),600.0)</f>
        <v>600</v>
      </c>
    </row>
    <row r="389" ht="15.75" customHeight="1">
      <c r="A389" s="5" t="s">
        <v>44</v>
      </c>
      <c r="B389" s="5">
        <v>8.0</v>
      </c>
      <c r="C389" s="5" t="s">
        <v>48</v>
      </c>
      <c r="D389" s="8" t="s">
        <v>97</v>
      </c>
      <c r="E389" s="5">
        <v>8.0</v>
      </c>
      <c r="F389" s="5"/>
      <c r="G389" s="5"/>
      <c r="H389" s="5"/>
      <c r="I389" s="5"/>
      <c r="J389" s="5"/>
      <c r="K389" s="5"/>
      <c r="L389" s="5"/>
    </row>
    <row r="390" ht="15.75" customHeight="1">
      <c r="A390" s="5" t="s">
        <v>44</v>
      </c>
      <c r="C390" s="5" t="s">
        <v>21</v>
      </c>
      <c r="D390" s="5" t="s">
        <v>98</v>
      </c>
      <c r="E390" s="5">
        <v>6.0</v>
      </c>
      <c r="F390" s="7">
        <f>IFERROR(__xludf.DUMMYFUNCTION("""COMPUTED_VALUE"""),0.0)</f>
        <v>0</v>
      </c>
      <c r="G390" s="7">
        <f>IFERROR(__xludf.DUMMYFUNCTION("""COMPUTED_VALUE"""),0.0)</f>
        <v>0</v>
      </c>
      <c r="H390" s="7">
        <f>IFERROR(__xludf.DUMMYFUNCTION("""COMPUTED_VALUE"""),0.0)</f>
        <v>0</v>
      </c>
      <c r="I390" s="7">
        <f>IFERROR(__xludf.DUMMYFUNCTION("""COMPUTED_VALUE"""),0.0)</f>
        <v>0</v>
      </c>
      <c r="J390" s="7">
        <f>IFERROR(__xludf.DUMMYFUNCTION("""COMPUTED_VALUE"""),0.0)</f>
        <v>0</v>
      </c>
      <c r="K390" s="7">
        <f>IFERROR(__xludf.DUMMYFUNCTION("""COMPUTED_VALUE"""),0.0)</f>
        <v>0</v>
      </c>
      <c r="L390" s="7">
        <f>IFERROR(__xludf.DUMMYFUNCTION("""COMPUTED_VALUE"""),0.0)</f>
        <v>0</v>
      </c>
    </row>
    <row r="391" ht="15.75" customHeight="1">
      <c r="A391" s="5" t="s">
        <v>44</v>
      </c>
      <c r="C391" s="5" t="s">
        <v>21</v>
      </c>
      <c r="D391" s="5" t="s">
        <v>99</v>
      </c>
      <c r="E391" s="5">
        <v>2.0</v>
      </c>
      <c r="F391" s="7">
        <f>IFERROR(__xludf.DUMMYFUNCTION("""COMPUTED_VALUE"""),0.0)</f>
        <v>0</v>
      </c>
      <c r="G391" s="7">
        <f>IFERROR(__xludf.DUMMYFUNCTION("""COMPUTED_VALUE"""),0.0)</f>
        <v>0</v>
      </c>
      <c r="H391" s="7">
        <f>IFERROR(__xludf.DUMMYFUNCTION("""COMPUTED_VALUE"""),0.0)</f>
        <v>0</v>
      </c>
      <c r="I391" s="7">
        <f>IFERROR(__xludf.DUMMYFUNCTION("""COMPUTED_VALUE"""),0.0)</f>
        <v>0</v>
      </c>
      <c r="J391" s="7">
        <f>IFERROR(__xludf.DUMMYFUNCTION("""COMPUTED_VALUE"""),0.0)</f>
        <v>0</v>
      </c>
      <c r="K391" s="7">
        <f>IFERROR(__xludf.DUMMYFUNCTION("""COMPUTED_VALUE"""),0.0)</f>
        <v>0</v>
      </c>
      <c r="L391" s="7">
        <f>IFERROR(__xludf.DUMMYFUNCTION("""COMPUTED_VALUE"""),0.0)</f>
        <v>0</v>
      </c>
    </row>
    <row r="392" ht="15.75" customHeight="1">
      <c r="A392" s="5" t="s">
        <v>44</v>
      </c>
      <c r="B392" s="5">
        <v>9.0</v>
      </c>
      <c r="C392" s="5" t="s">
        <v>48</v>
      </c>
      <c r="D392" s="8" t="s">
        <v>101</v>
      </c>
      <c r="E392" s="5">
        <v>6.0</v>
      </c>
      <c r="F392" s="5"/>
      <c r="G392" s="5"/>
      <c r="H392" s="5"/>
      <c r="I392" s="5"/>
      <c r="J392" s="5"/>
      <c r="K392" s="5"/>
      <c r="L392" s="5"/>
    </row>
    <row r="393" ht="15.75" customHeight="1">
      <c r="A393" s="5" t="s">
        <v>44</v>
      </c>
      <c r="C393" s="5" t="s">
        <v>21</v>
      </c>
      <c r="D393" s="5" t="s">
        <v>102</v>
      </c>
      <c r="E393" s="5">
        <v>2.0</v>
      </c>
      <c r="F393" s="7">
        <f>IFERROR(__xludf.DUMMYFUNCTION("""COMPUTED_VALUE"""),713.6109350764679)</f>
        <v>713.6109351</v>
      </c>
      <c r="G393" s="7">
        <f>IFERROR(__xludf.DUMMYFUNCTION("""COMPUTED_VALUE"""),497.97149363591524)</f>
        <v>497.9714936</v>
      </c>
      <c r="H393" s="7">
        <f>IFERROR(__xludf.DUMMYFUNCTION("""COMPUTED_VALUE"""),743.9931244203256)</f>
        <v>743.9931244</v>
      </c>
      <c r="I393" s="7">
        <f>IFERROR(__xludf.DUMMYFUNCTION("""COMPUTED_VALUE"""),406.0838965959546)</f>
        <v>406.0838966</v>
      </c>
      <c r="J393" s="7">
        <f>IFERROR(__xludf.DUMMYFUNCTION("""COMPUTED_VALUE"""),258.6191239269857)</f>
        <v>258.6191239</v>
      </c>
      <c r="K393" s="7">
        <f>IFERROR(__xludf.DUMMYFUNCTION("""COMPUTED_VALUE"""),224.53178954119383)</f>
        <v>224.5317895</v>
      </c>
      <c r="L393" s="7">
        <f>IFERROR(__xludf.DUMMYFUNCTION("""COMPUTED_VALUE"""),159.32123680315738)</f>
        <v>159.3212368</v>
      </c>
    </row>
    <row r="394" ht="15.75" customHeight="1">
      <c r="A394" s="5" t="s">
        <v>44</v>
      </c>
      <c r="C394" s="5" t="s">
        <v>21</v>
      </c>
      <c r="D394" s="5" t="s">
        <v>103</v>
      </c>
      <c r="E394" s="5">
        <v>2.0</v>
      </c>
      <c r="F394" s="7">
        <f>IFERROR(__xludf.DUMMYFUNCTION("""COMPUTED_VALUE"""),0.0)</f>
        <v>0</v>
      </c>
      <c r="G394" s="7">
        <f>IFERROR(__xludf.DUMMYFUNCTION("""COMPUTED_VALUE"""),0.0)</f>
        <v>0</v>
      </c>
      <c r="H394" s="7">
        <f>IFERROR(__xludf.DUMMYFUNCTION("""COMPUTED_VALUE"""),0.0)</f>
        <v>0</v>
      </c>
      <c r="I394" s="7">
        <f>IFERROR(__xludf.DUMMYFUNCTION("""COMPUTED_VALUE"""),0.0)</f>
        <v>0</v>
      </c>
      <c r="J394" s="7">
        <f>IFERROR(__xludf.DUMMYFUNCTION("""COMPUTED_VALUE"""),0.0)</f>
        <v>0</v>
      </c>
      <c r="K394" s="7">
        <f>IFERROR(__xludf.DUMMYFUNCTION("""COMPUTED_VALUE"""),0.0)</f>
        <v>0</v>
      </c>
      <c r="L394" s="7">
        <f>IFERROR(__xludf.DUMMYFUNCTION("""COMPUTED_VALUE"""),0.0)</f>
        <v>0</v>
      </c>
    </row>
    <row r="395" ht="15.75" customHeight="1">
      <c r="A395" s="5" t="s">
        <v>44</v>
      </c>
      <c r="C395" s="5" t="s">
        <v>21</v>
      </c>
      <c r="D395" s="5" t="s">
        <v>104</v>
      </c>
      <c r="E395" s="5">
        <v>2.0</v>
      </c>
      <c r="F395" s="7">
        <f>IFERROR(__xludf.DUMMYFUNCTION("""COMPUTED_VALUE"""),0.0)</f>
        <v>0</v>
      </c>
      <c r="G395" s="7">
        <f>IFERROR(__xludf.DUMMYFUNCTION("""COMPUTED_VALUE"""),0.0)</f>
        <v>0</v>
      </c>
      <c r="H395" s="7">
        <f>IFERROR(__xludf.DUMMYFUNCTION("""COMPUTED_VALUE"""),0.0)</f>
        <v>0</v>
      </c>
      <c r="I395" s="7">
        <f>IFERROR(__xludf.DUMMYFUNCTION("""COMPUTED_VALUE"""),0.0)</f>
        <v>0</v>
      </c>
      <c r="J395" s="7">
        <f>IFERROR(__xludf.DUMMYFUNCTION("""COMPUTED_VALUE"""),0.0)</f>
        <v>0</v>
      </c>
      <c r="K395" s="7">
        <f>IFERROR(__xludf.DUMMYFUNCTION("""COMPUTED_VALUE"""),0.0)</f>
        <v>0</v>
      </c>
      <c r="L395" s="7">
        <f>IFERROR(__xludf.DUMMYFUNCTION("""COMPUTED_VALUE"""),0.0)</f>
        <v>0</v>
      </c>
    </row>
    <row r="396" ht="15.75" customHeight="1">
      <c r="A396" s="5" t="s">
        <v>44</v>
      </c>
      <c r="B396" s="5">
        <v>10.0</v>
      </c>
      <c r="C396" s="5" t="s">
        <v>48</v>
      </c>
      <c r="D396" s="8" t="s">
        <v>107</v>
      </c>
      <c r="E396" s="5">
        <v>7.0</v>
      </c>
      <c r="F396" s="5"/>
      <c r="G396" s="5"/>
      <c r="H396" s="5"/>
      <c r="I396" s="5"/>
      <c r="J396" s="5"/>
      <c r="K396" s="5"/>
      <c r="L396" s="5"/>
    </row>
    <row r="397" ht="15.75" customHeight="1">
      <c r="A397" s="5" t="s">
        <v>44</v>
      </c>
      <c r="C397" s="5" t="s">
        <v>21</v>
      </c>
      <c r="D397" s="5" t="s">
        <v>108</v>
      </c>
      <c r="E397" s="5">
        <v>3.0</v>
      </c>
      <c r="F397" s="7">
        <f>IFERROR(__xludf.DUMMYFUNCTION("""COMPUTED_VALUE"""),68.56092252749326)</f>
        <v>68.56092253</v>
      </c>
      <c r="G397" s="7">
        <f>IFERROR(__xludf.DUMMYFUNCTION("""COMPUTED_VALUE"""),47.718957770180886)</f>
        <v>47.71895777</v>
      </c>
      <c r="H397" s="7">
        <f>IFERROR(__xludf.DUMMYFUNCTION("""COMPUTED_VALUE"""),90.7357264800408)</f>
        <v>90.73572648</v>
      </c>
      <c r="I397" s="7">
        <f>IFERROR(__xludf.DUMMYFUNCTION("""COMPUTED_VALUE"""),47.33391221849699)</f>
        <v>47.33391222</v>
      </c>
      <c r="J397" s="7">
        <f>IFERROR(__xludf.DUMMYFUNCTION("""COMPUTED_VALUE"""),92.96406238286662)</f>
        <v>92.96406238</v>
      </c>
      <c r="K397" s="7">
        <f>IFERROR(__xludf.DUMMYFUNCTION("""COMPUTED_VALUE"""),34.42074008188251)</f>
        <v>34.42074008</v>
      </c>
      <c r="L397" s="7">
        <f>IFERROR(__xludf.DUMMYFUNCTION("""COMPUTED_VALUE"""),81.56365274721617)</f>
        <v>81.56365275</v>
      </c>
    </row>
    <row r="398" ht="15.75" customHeight="1">
      <c r="A398" s="5" t="s">
        <v>44</v>
      </c>
      <c r="C398" s="5" t="s">
        <v>21</v>
      </c>
      <c r="D398" s="5" t="s">
        <v>109</v>
      </c>
      <c r="E398" s="5">
        <v>2.0</v>
      </c>
      <c r="F398" s="7">
        <f>IFERROR(__xludf.DUMMYFUNCTION("""COMPUTED_VALUE"""),76.38256343526349)</f>
        <v>76.38256344</v>
      </c>
      <c r="G398" s="7">
        <f>IFERROR(__xludf.DUMMYFUNCTION("""COMPUTED_VALUE"""),81.83687457162439)</f>
        <v>81.83687457</v>
      </c>
      <c r="H398" s="7">
        <f>IFERROR(__xludf.DUMMYFUNCTION("""COMPUTED_VALUE"""),119.5845697329377)</f>
        <v>119.5845697</v>
      </c>
      <c r="I398" s="7">
        <f>IFERROR(__xludf.DUMMYFUNCTION("""COMPUTED_VALUE"""),97.84735812133071)</f>
        <v>97.84735812</v>
      </c>
      <c r="J398" s="7">
        <f>IFERROR(__xludf.DUMMYFUNCTION("""COMPUTED_VALUE"""),88.36760925449872)</f>
        <v>88.36760925</v>
      </c>
      <c r="K398" s="7">
        <f>IFERROR(__xludf.DUMMYFUNCTION("""COMPUTED_VALUE"""),95.24187153053131)</f>
        <v>95.24187153</v>
      </c>
      <c r="L398" s="7">
        <f>IFERROR(__xludf.DUMMYFUNCTION("""COMPUTED_VALUE"""),81.39109212934716)</f>
        <v>81.39109213</v>
      </c>
    </row>
    <row r="399" ht="15.75" customHeight="1">
      <c r="A399" s="5" t="s">
        <v>44</v>
      </c>
      <c r="C399" s="5" t="s">
        <v>21</v>
      </c>
      <c r="D399" s="5" t="s">
        <v>110</v>
      </c>
      <c r="E399" s="5">
        <v>2.0</v>
      </c>
      <c r="F399" s="7">
        <f>IFERROR(__xludf.DUMMYFUNCTION("""COMPUTED_VALUE"""),100.0)</f>
        <v>100</v>
      </c>
      <c r="G399" s="7">
        <f>IFERROR(__xludf.DUMMYFUNCTION("""COMPUTED_VALUE"""),100.0)</f>
        <v>100</v>
      </c>
      <c r="H399" s="7">
        <f>IFERROR(__xludf.DUMMYFUNCTION("""COMPUTED_VALUE"""),100.0)</f>
        <v>100</v>
      </c>
      <c r="I399" s="7">
        <f>IFERROR(__xludf.DUMMYFUNCTION("""COMPUTED_VALUE"""),100.0)</f>
        <v>100</v>
      </c>
      <c r="J399" s="7">
        <f>IFERROR(__xludf.DUMMYFUNCTION("""COMPUTED_VALUE"""),100.0)</f>
        <v>100</v>
      </c>
      <c r="K399" s="7">
        <f>IFERROR(__xludf.DUMMYFUNCTION("""COMPUTED_VALUE"""),100.0)</f>
        <v>100</v>
      </c>
      <c r="L399" s="7">
        <f>IFERROR(__xludf.DUMMYFUNCTION("""COMPUTED_VALUE"""),100.0)</f>
        <v>100</v>
      </c>
    </row>
    <row r="400" ht="15.75" customHeight="1">
      <c r="A400" s="5" t="s">
        <v>44</v>
      </c>
      <c r="B400" s="15">
        <v>11.0</v>
      </c>
      <c r="C400" s="5" t="s">
        <v>48</v>
      </c>
      <c r="D400" s="8" t="s">
        <v>111</v>
      </c>
      <c r="E400" s="15">
        <v>4.0</v>
      </c>
      <c r="F400" s="5"/>
      <c r="G400" s="5"/>
      <c r="H400" s="5"/>
      <c r="I400" s="5"/>
      <c r="J400" s="5"/>
      <c r="K400" s="5"/>
      <c r="L400" s="5"/>
    </row>
    <row r="401" ht="15.75" customHeight="1">
      <c r="A401" s="5" t="s">
        <v>44</v>
      </c>
      <c r="C401" s="5" t="b">
        <v>0</v>
      </c>
      <c r="D401" s="15" t="s">
        <v>112</v>
      </c>
      <c r="E401" s="15">
        <v>2.0</v>
      </c>
      <c r="F401" s="7">
        <f>IFERROR(__xludf.DUMMYFUNCTION("""COMPUTED_VALUE"""),0.0)</f>
        <v>0</v>
      </c>
      <c r="G401" s="7">
        <f>IFERROR(__xludf.DUMMYFUNCTION("""COMPUTED_VALUE"""),0.0)</f>
        <v>0</v>
      </c>
      <c r="H401" s="7">
        <f>IFERROR(__xludf.DUMMYFUNCTION("""COMPUTED_VALUE"""),0.0)</f>
        <v>0</v>
      </c>
      <c r="I401" s="7">
        <f>IFERROR(__xludf.DUMMYFUNCTION("""COMPUTED_VALUE"""),0.0)</f>
        <v>0</v>
      </c>
      <c r="J401" s="7">
        <f>IFERROR(__xludf.DUMMYFUNCTION("""COMPUTED_VALUE"""),0.0)</f>
        <v>0</v>
      </c>
      <c r="K401" s="7">
        <f>IFERROR(__xludf.DUMMYFUNCTION("""COMPUTED_VALUE"""),0.0)</f>
        <v>0</v>
      </c>
      <c r="L401" s="7">
        <f>IFERROR(__xludf.DUMMYFUNCTION("""COMPUTED_VALUE"""),0.0)</f>
        <v>0</v>
      </c>
    </row>
    <row r="402" ht="15.75" customHeight="1">
      <c r="A402" s="5" t="s">
        <v>44</v>
      </c>
      <c r="C402" s="5" t="s">
        <v>21</v>
      </c>
      <c r="D402" s="15" t="s">
        <v>113</v>
      </c>
      <c r="E402" s="15">
        <v>2.0</v>
      </c>
      <c r="F402" s="7">
        <f>IFERROR(__xludf.DUMMYFUNCTION("""COMPUTED_VALUE"""),100.0)</f>
        <v>100</v>
      </c>
      <c r="G402" s="7">
        <f>IFERROR(__xludf.DUMMYFUNCTION("""COMPUTED_VALUE"""),100.0)</f>
        <v>100</v>
      </c>
      <c r="H402" s="7">
        <f>IFERROR(__xludf.DUMMYFUNCTION("""COMPUTED_VALUE"""),100.0)</f>
        <v>100</v>
      </c>
      <c r="I402" s="7">
        <f>IFERROR(__xludf.DUMMYFUNCTION("""COMPUTED_VALUE"""),100.0)</f>
        <v>100</v>
      </c>
      <c r="J402" s="7">
        <f>IFERROR(__xludf.DUMMYFUNCTION("""COMPUTED_VALUE"""),100.0)</f>
        <v>100</v>
      </c>
      <c r="K402" s="7">
        <f>IFERROR(__xludf.DUMMYFUNCTION("""COMPUTED_VALUE"""),100.0)</f>
        <v>100</v>
      </c>
      <c r="L402" s="7">
        <f>IFERROR(__xludf.DUMMYFUNCTION("""COMPUTED_VALUE"""),100.0)</f>
        <v>100</v>
      </c>
    </row>
    <row r="403" ht="15.75" customHeight="1">
      <c r="A403" s="5" t="s">
        <v>44</v>
      </c>
      <c r="B403" s="15">
        <v>12.0</v>
      </c>
      <c r="C403" s="5" t="s">
        <v>48</v>
      </c>
      <c r="D403" s="8" t="s">
        <v>117</v>
      </c>
    </row>
    <row r="404" ht="15.75" customHeight="1">
      <c r="A404" s="5" t="s">
        <v>44</v>
      </c>
      <c r="C404" s="5" t="s">
        <v>21</v>
      </c>
      <c r="D404" s="15" t="s">
        <v>118</v>
      </c>
    </row>
    <row r="405" ht="15.75" customHeight="1">
      <c r="A405" s="5" t="s">
        <v>44</v>
      </c>
      <c r="C405" s="5" t="s">
        <v>21</v>
      </c>
      <c r="D405" s="15" t="s">
        <v>119</v>
      </c>
    </row>
    <row r="406" ht="15.75" customHeight="1">
      <c r="A406" s="5" t="s">
        <v>44</v>
      </c>
      <c r="C406" s="5" t="s">
        <v>21</v>
      </c>
      <c r="D406" s="15" t="s">
        <v>120</v>
      </c>
    </row>
    <row r="407" ht="15.75" customHeight="1">
      <c r="A407" s="5" t="s">
        <v>45</v>
      </c>
      <c r="B407" s="5">
        <v>1.0</v>
      </c>
      <c r="C407" s="5" t="s">
        <v>21</v>
      </c>
      <c r="D407" s="5" t="s">
        <v>23</v>
      </c>
      <c r="E407" s="5">
        <v>14.0</v>
      </c>
      <c r="F407" s="7">
        <f>IFERROR(__xludf.DUMMYFUNCTION("IMPORTRANGE(""1e7--NjE9N54w7uxIeTVQ2x149gW2CjGTf8gPedLtEqw"",""MDK!CA5:CA45"")"),60.0)</f>
        <v>60</v>
      </c>
      <c r="G407" s="7">
        <f>IFERROR(__xludf.DUMMYFUNCTION("IMPORTRANGE(""1e7--NjE9N54w7uxIeTVQ2x149gW2CjGTf8gPedLtEqw"",""MGT!CA5:CA45"")"),60.0)</f>
        <v>60</v>
      </c>
      <c r="H407" s="7">
        <f>IFERROR(__xludf.DUMMYFUNCTION("IMPORTRANGE(""1e7--NjE9N54w7uxIeTVQ2x149gW2CjGTf8gPedLtEqw"",""NGW!CA5:CA45"")"),60.0)</f>
        <v>60</v>
      </c>
      <c r="I407" s="7">
        <f>IFERROR(__xludf.DUMMYFUNCTION("IMPORTRANGE(""1e7--NjE9N54w7uxIeTVQ2x149gW2CjGTf8gPedLtEqw"",""MPT!CA5:CA45"")"),60.0)</f>
        <v>60</v>
      </c>
      <c r="J407" s="7">
        <f>IFERROR(__xludf.DUMMYFUNCTION("IMPORTRANGE(""1e7--NjE9N54w7uxIeTVQ2x149gW2CjGTf8gPedLtEqw"",""CRB!CA5:CA45"")"),60.0)</f>
        <v>60</v>
      </c>
      <c r="K407" s="7">
        <f>IFERROR(__xludf.DUMMYFUNCTION("IMPORTRANGE(""1e7--NjE9N54w7uxIeTVQ2x149gW2CjGTf8gPedLtEqw"",""DLP!CA5:CA45"")"),60.0)</f>
        <v>60</v>
      </c>
      <c r="L407" s="7">
        <f>IFERROR(__xludf.DUMMYFUNCTION("IMPORTRANGE(""1e7--NjE9N54w7uxIeTVQ2x149gW2CjGTf8gPedLtEqw"",""MTN!CA5:CA45"")"),60.0)</f>
        <v>60</v>
      </c>
    </row>
    <row r="408" ht="15.75" customHeight="1">
      <c r="A408" s="5" t="s">
        <v>45</v>
      </c>
      <c r="B408" s="5">
        <v>2.0</v>
      </c>
      <c r="C408" s="5" t="s">
        <v>21</v>
      </c>
      <c r="D408" s="5" t="s">
        <v>40</v>
      </c>
      <c r="E408" s="5">
        <v>12.0</v>
      </c>
      <c r="F408" s="7">
        <f>IFERROR(__xludf.DUMMYFUNCTION("""COMPUTED_VALUE"""),570.80153659256)</f>
        <v>570.8015366</v>
      </c>
      <c r="G408" s="7">
        <f>IFERROR(__xludf.DUMMYFUNCTION("""COMPUTED_VALUE"""),841.619684701051)</f>
        <v>841.6196847</v>
      </c>
      <c r="H408" s="7">
        <f>IFERROR(__xludf.DUMMYFUNCTION("""COMPUTED_VALUE"""),879.0376239804831)</f>
        <v>879.037624</v>
      </c>
      <c r="I408" s="7">
        <f>IFERROR(__xludf.DUMMYFUNCTION("""COMPUTED_VALUE"""),576.797225949956)</f>
        <v>576.7972259</v>
      </c>
      <c r="J408" s="7">
        <f>IFERROR(__xludf.DUMMYFUNCTION("""COMPUTED_VALUE"""),590.630157681874)</f>
        <v>590.6301577</v>
      </c>
      <c r="K408" s="7">
        <f>IFERROR(__xludf.DUMMYFUNCTION("""COMPUTED_VALUE"""),650.6429092423671)</f>
        <v>650.6429092</v>
      </c>
      <c r="L408" s="7">
        <f>IFERROR(__xludf.DUMMYFUNCTION("""COMPUTED_VALUE"""),1222.5081288852)</f>
        <v>1222.508129</v>
      </c>
    </row>
    <row r="409" ht="15.75" customHeight="1">
      <c r="A409" s="5" t="s">
        <v>45</v>
      </c>
      <c r="B409" s="5">
        <v>3.0</v>
      </c>
      <c r="C409" s="5" t="s">
        <v>48</v>
      </c>
      <c r="D409" s="8" t="s">
        <v>49</v>
      </c>
      <c r="E409" s="5">
        <v>14.0</v>
      </c>
      <c r="F409" s="5"/>
      <c r="G409" s="5"/>
      <c r="H409" s="5"/>
      <c r="I409" s="5"/>
      <c r="J409" s="5"/>
      <c r="K409" s="5"/>
      <c r="L409" s="5"/>
    </row>
    <row r="410" ht="15.75" customHeight="1">
      <c r="A410" s="5" t="s">
        <v>45</v>
      </c>
      <c r="C410" s="5" t="s">
        <v>21</v>
      </c>
      <c r="D410" s="5" t="s">
        <v>51</v>
      </c>
      <c r="E410" s="5">
        <v>6.0</v>
      </c>
      <c r="F410" s="7">
        <f>IFERROR(__xludf.DUMMYFUNCTION("""COMPUTED_VALUE"""),2935.1556874743123)</f>
        <v>2935.155687</v>
      </c>
      <c r="G410" s="7">
        <f>IFERROR(__xludf.DUMMYFUNCTION("""COMPUTED_VALUE"""),3297.998026323902)</f>
        <v>3297.998026</v>
      </c>
      <c r="H410" s="7">
        <f>IFERROR(__xludf.DUMMYFUNCTION("""COMPUTED_VALUE"""),5039.970843017625)</f>
        <v>5039.970843</v>
      </c>
      <c r="I410" s="7">
        <f>IFERROR(__xludf.DUMMYFUNCTION("""COMPUTED_VALUE"""),2302.6673870302534)</f>
        <v>2302.667387</v>
      </c>
      <c r="J410" s="7">
        <f>IFERROR(__xludf.DUMMYFUNCTION("""COMPUTED_VALUE"""),6749.0340520869995)</f>
        <v>6749.034052</v>
      </c>
      <c r="K410" s="7">
        <f>IFERROR(__xludf.DUMMYFUNCTION("""COMPUTED_VALUE"""),7210.418858038224)</f>
        <v>7210.418858</v>
      </c>
      <c r="L410" s="7">
        <f>IFERROR(__xludf.DUMMYFUNCTION("""COMPUTED_VALUE"""),1257.7460609810962)</f>
        <v>1257.746061</v>
      </c>
    </row>
    <row r="411" ht="15.75" customHeight="1">
      <c r="A411" s="5" t="s">
        <v>45</v>
      </c>
      <c r="C411" s="5" t="s">
        <v>21</v>
      </c>
      <c r="D411" s="5" t="s">
        <v>53</v>
      </c>
      <c r="E411" s="5">
        <v>6.0</v>
      </c>
      <c r="F411" s="7">
        <f>IFERROR(__xludf.DUMMYFUNCTION("""COMPUTED_VALUE"""),41.62787278874896)</f>
        <v>41.62787279</v>
      </c>
      <c r="G411" s="7">
        <f>IFERROR(__xludf.DUMMYFUNCTION("""COMPUTED_VALUE"""),96.52814921120779)</f>
        <v>96.52814921</v>
      </c>
      <c r="H411" s="7">
        <f>IFERROR(__xludf.DUMMYFUNCTION("""COMPUTED_VALUE"""),87.26235741444867)</f>
        <v>87.26235741</v>
      </c>
      <c r="I411" s="7">
        <f>IFERROR(__xludf.DUMMYFUNCTION("""COMPUTED_VALUE"""),48.41665891785223)</f>
        <v>48.41665892</v>
      </c>
      <c r="J411" s="7">
        <f>IFERROR(__xludf.DUMMYFUNCTION("""COMPUTED_VALUE"""),93.21936748177812)</f>
        <v>93.21936748</v>
      </c>
      <c r="K411" s="7">
        <f>IFERROR(__xludf.DUMMYFUNCTION("""COMPUTED_VALUE"""),100.86708855426257)</f>
        <v>100.8670886</v>
      </c>
      <c r="L411" s="7">
        <f>IFERROR(__xludf.DUMMYFUNCTION("""COMPUTED_VALUE"""),25.627522284801984)</f>
        <v>25.62752228</v>
      </c>
    </row>
    <row r="412" ht="15.75" customHeight="1">
      <c r="A412" s="5" t="s">
        <v>45</v>
      </c>
      <c r="C412" s="5" t="s">
        <v>21</v>
      </c>
      <c r="D412" s="5" t="s">
        <v>55</v>
      </c>
      <c r="E412" s="5">
        <v>2.0</v>
      </c>
      <c r="F412" s="7">
        <f>IFERROR(__xludf.DUMMYFUNCTION("""COMPUTED_VALUE"""),1511.9859542267388)</f>
        <v>1511.985954</v>
      </c>
      <c r="G412" s="7">
        <f>IFERROR(__xludf.DUMMYFUNCTION("""COMPUTED_VALUE"""),1376.1945559252326)</f>
        <v>1376.194556</v>
      </c>
      <c r="H412" s="7">
        <f>IFERROR(__xludf.DUMMYFUNCTION("""COMPUTED_VALUE"""),4335.887739658004)</f>
        <v>4335.88774</v>
      </c>
      <c r="I412" s="7">
        <f>IFERROR(__xludf.DUMMYFUNCTION("""COMPUTED_VALUE"""),619.2829164068555)</f>
        <v>619.2829164</v>
      </c>
      <c r="J412" s="7">
        <f>IFERROR(__xludf.DUMMYFUNCTION("""COMPUTED_VALUE"""),2002.9323129221762)</f>
        <v>2002.932313</v>
      </c>
      <c r="K412" s="7">
        <f>IFERROR(__xludf.DUMMYFUNCTION("""COMPUTED_VALUE"""),2375.813387576305)</f>
        <v>2375.813388</v>
      </c>
      <c r="L412" s="7">
        <f>IFERROR(__xludf.DUMMYFUNCTION("""COMPUTED_VALUE"""),360.3251513639887)</f>
        <v>360.3251514</v>
      </c>
    </row>
    <row r="413" ht="15.75" customHeight="1">
      <c r="A413" s="5" t="s">
        <v>45</v>
      </c>
      <c r="B413" s="5">
        <v>4.0</v>
      </c>
      <c r="C413" s="5" t="s">
        <v>48</v>
      </c>
      <c r="D413" s="8" t="s">
        <v>62</v>
      </c>
      <c r="E413" s="5">
        <v>10.0</v>
      </c>
      <c r="F413" s="5"/>
      <c r="G413" s="5"/>
      <c r="H413" s="5"/>
      <c r="I413" s="5"/>
      <c r="J413" s="5"/>
      <c r="K413" s="5"/>
      <c r="L413" s="5"/>
    </row>
    <row r="414" ht="15.75" customHeight="1">
      <c r="A414" s="5" t="s">
        <v>45</v>
      </c>
      <c r="C414" s="5" t="s">
        <v>21</v>
      </c>
      <c r="D414" s="5" t="s">
        <v>64</v>
      </c>
      <c r="E414" s="5">
        <v>5.0</v>
      </c>
      <c r="F414" s="7">
        <f>IFERROR(__xludf.DUMMYFUNCTION("""COMPUTED_VALUE"""),0.0)</f>
        <v>0</v>
      </c>
      <c r="G414" s="7">
        <f>IFERROR(__xludf.DUMMYFUNCTION("""COMPUTED_VALUE"""),0.0)</f>
        <v>0</v>
      </c>
      <c r="H414" s="7">
        <f>IFERROR(__xludf.DUMMYFUNCTION("""COMPUTED_VALUE"""),0.0)</f>
        <v>0</v>
      </c>
      <c r="I414" s="7">
        <f>IFERROR(__xludf.DUMMYFUNCTION("""COMPUTED_VALUE"""),0.0)</f>
        <v>0</v>
      </c>
      <c r="J414" s="7">
        <f>IFERROR(__xludf.DUMMYFUNCTION("""COMPUTED_VALUE"""),0.0)</f>
        <v>0</v>
      </c>
      <c r="K414" s="7">
        <f>IFERROR(__xludf.DUMMYFUNCTION("""COMPUTED_VALUE"""),0.0)</f>
        <v>0</v>
      </c>
      <c r="L414" s="7">
        <f>IFERROR(__xludf.DUMMYFUNCTION("""COMPUTED_VALUE"""),0.0)</f>
        <v>0</v>
      </c>
    </row>
    <row r="415" ht="15.75" customHeight="1">
      <c r="A415" s="5" t="s">
        <v>45</v>
      </c>
      <c r="C415" s="5" t="s">
        <v>21</v>
      </c>
      <c r="D415" s="5" t="s">
        <v>70</v>
      </c>
      <c r="F415" s="7">
        <f>IFERROR(__xludf.DUMMYFUNCTION("""COMPUTED_VALUE"""),0.0)</f>
        <v>0</v>
      </c>
      <c r="G415" s="7">
        <f>IFERROR(__xludf.DUMMYFUNCTION("""COMPUTED_VALUE"""),0.0)</f>
        <v>0</v>
      </c>
      <c r="H415" s="7">
        <f>IFERROR(__xludf.DUMMYFUNCTION("""COMPUTED_VALUE"""),0.0)</f>
        <v>0</v>
      </c>
      <c r="I415" s="7">
        <f>IFERROR(__xludf.DUMMYFUNCTION("""COMPUTED_VALUE"""),0.0)</f>
        <v>0</v>
      </c>
      <c r="J415" s="7">
        <f>IFERROR(__xludf.DUMMYFUNCTION("""COMPUTED_VALUE"""),0.0)</f>
        <v>0</v>
      </c>
      <c r="K415" s="7">
        <f>IFERROR(__xludf.DUMMYFUNCTION("""COMPUTED_VALUE"""),0.0)</f>
        <v>0</v>
      </c>
      <c r="L415" s="7">
        <f>IFERROR(__xludf.DUMMYFUNCTION("""COMPUTED_VALUE"""),0.0)</f>
        <v>0</v>
      </c>
    </row>
    <row r="416" ht="15.75" customHeight="1">
      <c r="A416" s="5" t="s">
        <v>45</v>
      </c>
      <c r="C416" s="5" t="s">
        <v>21</v>
      </c>
      <c r="D416" s="5" t="s">
        <v>73</v>
      </c>
      <c r="F416" s="7">
        <f>IFERROR(__xludf.DUMMYFUNCTION("""COMPUTED_VALUE"""),0.0)</f>
        <v>0</v>
      </c>
      <c r="G416" s="7">
        <f>IFERROR(__xludf.DUMMYFUNCTION("""COMPUTED_VALUE"""),0.0)</f>
        <v>0</v>
      </c>
      <c r="H416" s="7">
        <f>IFERROR(__xludf.DUMMYFUNCTION("""COMPUTED_VALUE"""),0.0)</f>
        <v>0</v>
      </c>
      <c r="I416" s="7">
        <f>IFERROR(__xludf.DUMMYFUNCTION("""COMPUTED_VALUE"""),0.0)</f>
        <v>0</v>
      </c>
      <c r="J416" s="7">
        <f>IFERROR(__xludf.DUMMYFUNCTION("""COMPUTED_VALUE"""),0.0)</f>
        <v>0</v>
      </c>
      <c r="K416" s="7">
        <f>IFERROR(__xludf.DUMMYFUNCTION("""COMPUTED_VALUE"""),0.0)</f>
        <v>0</v>
      </c>
      <c r="L416" s="7">
        <f>IFERROR(__xludf.DUMMYFUNCTION("""COMPUTED_VALUE"""),0.0)</f>
        <v>0</v>
      </c>
    </row>
    <row r="417" ht="15.75" customHeight="1">
      <c r="A417" s="5" t="s">
        <v>45</v>
      </c>
      <c r="C417" s="5" t="s">
        <v>21</v>
      </c>
      <c r="D417" s="5" t="s">
        <v>74</v>
      </c>
      <c r="F417" s="7">
        <f>IFERROR(__xludf.DUMMYFUNCTION("""COMPUTED_VALUE"""),0.0)</f>
        <v>0</v>
      </c>
      <c r="G417" s="7">
        <f>IFERROR(__xludf.DUMMYFUNCTION("""COMPUTED_VALUE"""),0.0)</f>
        <v>0</v>
      </c>
      <c r="H417" s="7">
        <f>IFERROR(__xludf.DUMMYFUNCTION("""COMPUTED_VALUE"""),0.0)</f>
        <v>0</v>
      </c>
      <c r="I417" s="7">
        <f>IFERROR(__xludf.DUMMYFUNCTION("""COMPUTED_VALUE"""),0.0)</f>
        <v>0</v>
      </c>
      <c r="J417" s="7">
        <f>IFERROR(__xludf.DUMMYFUNCTION("""COMPUTED_VALUE"""),0.0)</f>
        <v>0</v>
      </c>
      <c r="K417" s="7">
        <f>IFERROR(__xludf.DUMMYFUNCTION("""COMPUTED_VALUE"""),0.0)</f>
        <v>0</v>
      </c>
      <c r="L417" s="7">
        <f>IFERROR(__xludf.DUMMYFUNCTION("""COMPUTED_VALUE"""),0.0)</f>
        <v>0</v>
      </c>
    </row>
    <row r="418" ht="15.75" customHeight="1">
      <c r="A418" s="5" t="s">
        <v>45</v>
      </c>
      <c r="C418" s="5" t="s">
        <v>21</v>
      </c>
      <c r="D418" s="5" t="s">
        <v>75</v>
      </c>
      <c r="E418" s="5">
        <v>5.0</v>
      </c>
      <c r="F418" s="7">
        <f>IFERROR(__xludf.DUMMYFUNCTION("""COMPUTED_VALUE"""),100.0)</f>
        <v>100</v>
      </c>
      <c r="G418" s="7">
        <f>IFERROR(__xludf.DUMMYFUNCTION("""COMPUTED_VALUE"""),100.0)</f>
        <v>100</v>
      </c>
      <c r="H418" s="7">
        <f>IFERROR(__xludf.DUMMYFUNCTION("""COMPUTED_VALUE"""),100.0)</f>
        <v>100</v>
      </c>
      <c r="I418" s="7">
        <f>IFERROR(__xludf.DUMMYFUNCTION("""COMPUTED_VALUE"""),100.0)</f>
        <v>100</v>
      </c>
      <c r="J418" s="7">
        <f>IFERROR(__xludf.DUMMYFUNCTION("""COMPUTED_VALUE"""),100.0)</f>
        <v>100</v>
      </c>
      <c r="K418" s="7">
        <f>IFERROR(__xludf.DUMMYFUNCTION("""COMPUTED_VALUE"""),100.0)</f>
        <v>100</v>
      </c>
      <c r="L418" s="7">
        <f>IFERROR(__xludf.DUMMYFUNCTION("""COMPUTED_VALUE"""),100.0)</f>
        <v>100</v>
      </c>
    </row>
    <row r="419" ht="15.75" customHeight="1">
      <c r="A419" s="5" t="s">
        <v>45</v>
      </c>
      <c r="B419" s="5">
        <v>5.0</v>
      </c>
      <c r="C419" s="5" t="s">
        <v>48</v>
      </c>
      <c r="D419" s="8" t="s">
        <v>76</v>
      </c>
      <c r="E419" s="5">
        <v>10.0</v>
      </c>
      <c r="F419" s="5"/>
      <c r="G419" s="5"/>
      <c r="H419" s="5"/>
      <c r="I419" s="5"/>
      <c r="J419" s="5"/>
      <c r="K419" s="5"/>
      <c r="L419" s="5"/>
    </row>
    <row r="420" ht="15.75" customHeight="1">
      <c r="A420" s="5" t="s">
        <v>45</v>
      </c>
      <c r="C420" s="5" t="s">
        <v>21</v>
      </c>
      <c r="D420" s="5" t="s">
        <v>79</v>
      </c>
      <c r="E420" s="5">
        <v>0.5</v>
      </c>
      <c r="F420" s="7">
        <f>IFERROR(__xludf.DUMMYFUNCTION("""COMPUTED_VALUE"""),0.0)</f>
        <v>0</v>
      </c>
      <c r="G420" s="7">
        <f>IFERROR(__xludf.DUMMYFUNCTION("""COMPUTED_VALUE"""),0.0)</f>
        <v>0</v>
      </c>
      <c r="H420" s="7">
        <f>IFERROR(__xludf.DUMMYFUNCTION("""COMPUTED_VALUE"""),0.0)</f>
        <v>0</v>
      </c>
      <c r="I420" s="7">
        <f>IFERROR(__xludf.DUMMYFUNCTION("""COMPUTED_VALUE"""),0.0)</f>
        <v>0</v>
      </c>
      <c r="J420" s="7">
        <f>IFERROR(__xludf.DUMMYFUNCTION("""COMPUTED_VALUE"""),0.0)</f>
        <v>0</v>
      </c>
      <c r="K420" s="7">
        <f>IFERROR(__xludf.DUMMYFUNCTION("""COMPUTED_VALUE"""),0.0)</f>
        <v>0</v>
      </c>
      <c r="L420" s="7">
        <f>IFERROR(__xludf.DUMMYFUNCTION("""COMPUTED_VALUE"""),0.0)</f>
        <v>0</v>
      </c>
    </row>
    <row r="421" ht="15.75" customHeight="1">
      <c r="A421" s="5" t="s">
        <v>45</v>
      </c>
      <c r="C421" s="5" t="s">
        <v>21</v>
      </c>
      <c r="D421" s="5" t="s">
        <v>81</v>
      </c>
      <c r="E421" s="5">
        <v>1.5</v>
      </c>
      <c r="F421" s="7">
        <f>IFERROR(__xludf.DUMMYFUNCTION("""COMPUTED_VALUE"""),0.0)</f>
        <v>0</v>
      </c>
      <c r="G421" s="7">
        <f>IFERROR(__xludf.DUMMYFUNCTION("""COMPUTED_VALUE"""),0.0)</f>
        <v>0</v>
      </c>
      <c r="H421" s="7">
        <f>IFERROR(__xludf.DUMMYFUNCTION("""COMPUTED_VALUE"""),0.0)</f>
        <v>0</v>
      </c>
      <c r="I421" s="7">
        <f>IFERROR(__xludf.DUMMYFUNCTION("""COMPUTED_VALUE"""),0.0)</f>
        <v>0</v>
      </c>
      <c r="J421" s="7">
        <f>IFERROR(__xludf.DUMMYFUNCTION("""COMPUTED_VALUE"""),0.0)</f>
        <v>0</v>
      </c>
      <c r="K421" s="7">
        <f>IFERROR(__xludf.DUMMYFUNCTION("""COMPUTED_VALUE"""),0.0)</f>
        <v>0</v>
      </c>
      <c r="L421" s="7">
        <f>IFERROR(__xludf.DUMMYFUNCTION("""COMPUTED_VALUE"""),0.0)</f>
        <v>0</v>
      </c>
    </row>
    <row r="422" ht="15.75" customHeight="1">
      <c r="A422" s="5" t="s">
        <v>45</v>
      </c>
      <c r="C422" s="5" t="s">
        <v>21</v>
      </c>
      <c r="D422" s="5" t="s">
        <v>82</v>
      </c>
      <c r="E422" s="5">
        <v>2.0</v>
      </c>
      <c r="F422" s="7">
        <f>IFERROR(__xludf.DUMMYFUNCTION("""COMPUTED_VALUE"""),0.0)</f>
        <v>0</v>
      </c>
      <c r="G422" s="7">
        <f>IFERROR(__xludf.DUMMYFUNCTION("""COMPUTED_VALUE"""),0.0)</f>
        <v>0</v>
      </c>
      <c r="H422" s="7">
        <f>IFERROR(__xludf.DUMMYFUNCTION("""COMPUTED_VALUE"""),0.0)</f>
        <v>0</v>
      </c>
      <c r="I422" s="7">
        <f>IFERROR(__xludf.DUMMYFUNCTION("""COMPUTED_VALUE"""),0.0)</f>
        <v>0</v>
      </c>
      <c r="J422" s="7">
        <f>IFERROR(__xludf.DUMMYFUNCTION("""COMPUTED_VALUE"""),0.0)</f>
        <v>0</v>
      </c>
      <c r="K422" s="7">
        <f>IFERROR(__xludf.DUMMYFUNCTION("""COMPUTED_VALUE"""),0.0)</f>
        <v>0</v>
      </c>
      <c r="L422" s="7">
        <f>IFERROR(__xludf.DUMMYFUNCTION("""COMPUTED_VALUE"""),0.0)</f>
        <v>0</v>
      </c>
    </row>
    <row r="423" ht="15.75" customHeight="1">
      <c r="A423" s="5" t="s">
        <v>45</v>
      </c>
      <c r="C423" s="5" t="s">
        <v>21</v>
      </c>
      <c r="D423" s="5" t="s">
        <v>83</v>
      </c>
      <c r="E423" s="5">
        <v>4.0</v>
      </c>
      <c r="F423" s="7">
        <f>IFERROR(__xludf.DUMMYFUNCTION("""COMPUTED_VALUE"""),100.0)</f>
        <v>100</v>
      </c>
      <c r="G423" s="7">
        <f>IFERROR(__xludf.DUMMYFUNCTION("""COMPUTED_VALUE"""),0.0)</f>
        <v>0</v>
      </c>
      <c r="H423" s="7">
        <f>IFERROR(__xludf.DUMMYFUNCTION("""COMPUTED_VALUE"""),0.0)</f>
        <v>0</v>
      </c>
      <c r="I423" s="7">
        <f>IFERROR(__xludf.DUMMYFUNCTION("""COMPUTED_VALUE"""),100.0)</f>
        <v>100</v>
      </c>
      <c r="J423" s="7">
        <f>IFERROR(__xludf.DUMMYFUNCTION("""COMPUTED_VALUE"""),0.0)</f>
        <v>0</v>
      </c>
      <c r="K423" s="7">
        <f>IFERROR(__xludf.DUMMYFUNCTION("""COMPUTED_VALUE"""),100.0)</f>
        <v>100</v>
      </c>
      <c r="L423" s="7">
        <f>IFERROR(__xludf.DUMMYFUNCTION("""COMPUTED_VALUE"""),0.0)</f>
        <v>0</v>
      </c>
    </row>
    <row r="424" ht="15.75" customHeight="1">
      <c r="A424" s="5" t="s">
        <v>45</v>
      </c>
      <c r="C424" s="5" t="s">
        <v>21</v>
      </c>
      <c r="D424" s="5" t="s">
        <v>84</v>
      </c>
      <c r="E424" s="5">
        <v>2.0</v>
      </c>
      <c r="F424" s="7">
        <f>IFERROR(__xludf.DUMMYFUNCTION("""COMPUTED_VALUE"""),100.0)</f>
        <v>100</v>
      </c>
      <c r="G424" s="7">
        <f>IFERROR(__xludf.DUMMYFUNCTION("""COMPUTED_VALUE"""),0.0)</f>
        <v>0</v>
      </c>
      <c r="H424" s="7">
        <f>IFERROR(__xludf.DUMMYFUNCTION("""COMPUTED_VALUE"""),0.0)</f>
        <v>0</v>
      </c>
      <c r="I424" s="7">
        <f>IFERROR(__xludf.DUMMYFUNCTION("""COMPUTED_VALUE"""),100.0)</f>
        <v>100</v>
      </c>
      <c r="J424" s="7">
        <f>IFERROR(__xludf.DUMMYFUNCTION("""COMPUTED_VALUE"""),0.0)</f>
        <v>0</v>
      </c>
      <c r="K424" s="7">
        <f>IFERROR(__xludf.DUMMYFUNCTION("""COMPUTED_VALUE"""),100.0)</f>
        <v>100</v>
      </c>
      <c r="L424" s="7">
        <f>IFERROR(__xludf.DUMMYFUNCTION("""COMPUTED_VALUE"""),0.0)</f>
        <v>0</v>
      </c>
    </row>
    <row r="425" ht="15.75" customHeight="1">
      <c r="A425" s="5" t="s">
        <v>45</v>
      </c>
      <c r="B425" s="5">
        <v>6.0</v>
      </c>
      <c r="C425" s="5" t="s">
        <v>48</v>
      </c>
      <c r="D425" s="8" t="s">
        <v>85</v>
      </c>
      <c r="E425" s="5">
        <v>8.0</v>
      </c>
      <c r="F425" s="5"/>
      <c r="G425" s="5"/>
      <c r="H425" s="5"/>
      <c r="I425" s="5"/>
      <c r="J425" s="5"/>
      <c r="K425" s="5"/>
      <c r="L425" s="5"/>
    </row>
    <row r="426" ht="15.75" customHeight="1">
      <c r="A426" s="5" t="s">
        <v>45</v>
      </c>
      <c r="C426" s="5" t="s">
        <v>21</v>
      </c>
      <c r="D426" s="5" t="s">
        <v>86</v>
      </c>
      <c r="E426" s="5">
        <v>2.0</v>
      </c>
      <c r="F426" s="7">
        <f>IFERROR(__xludf.DUMMYFUNCTION("""COMPUTED_VALUE"""),200.0)</f>
        <v>200</v>
      </c>
      <c r="G426" s="7">
        <f>IFERROR(__xludf.DUMMYFUNCTION("""COMPUTED_VALUE"""),100.0)</f>
        <v>100</v>
      </c>
      <c r="H426" s="7">
        <f>IFERROR(__xludf.DUMMYFUNCTION("""COMPUTED_VALUE"""),600.0)</f>
        <v>600</v>
      </c>
      <c r="I426" s="7">
        <f>IFERROR(__xludf.DUMMYFUNCTION("""COMPUTED_VALUE"""),200.0)</f>
        <v>200</v>
      </c>
      <c r="J426" s="7">
        <f>IFERROR(__xludf.DUMMYFUNCTION("""COMPUTED_VALUE"""),200.0)</f>
        <v>200</v>
      </c>
      <c r="K426" s="7">
        <f>IFERROR(__xludf.DUMMYFUNCTION("""COMPUTED_VALUE"""),200.0)</f>
        <v>200</v>
      </c>
      <c r="L426" s="7">
        <f>IFERROR(__xludf.DUMMYFUNCTION("""COMPUTED_VALUE"""),100.0)</f>
        <v>100</v>
      </c>
    </row>
    <row r="427" ht="15.75" customHeight="1">
      <c r="A427" s="5" t="s">
        <v>45</v>
      </c>
      <c r="C427" s="5" t="s">
        <v>21</v>
      </c>
      <c r="D427" s="5" t="s">
        <v>87</v>
      </c>
      <c r="E427" s="5">
        <v>2.0</v>
      </c>
      <c r="F427" s="7">
        <f>IFERROR(__xludf.DUMMYFUNCTION("""COMPUTED_VALUE"""),3000.0)</f>
        <v>3000</v>
      </c>
      <c r="G427" s="7">
        <f>IFERROR(__xludf.DUMMYFUNCTION("""COMPUTED_VALUE"""),3000.0)</f>
        <v>3000</v>
      </c>
      <c r="H427" s="7">
        <f>IFERROR(__xludf.DUMMYFUNCTION("""COMPUTED_VALUE"""),3000.0)</f>
        <v>3000</v>
      </c>
      <c r="I427" s="7">
        <f>IFERROR(__xludf.DUMMYFUNCTION("""COMPUTED_VALUE"""),3000.0)</f>
        <v>3000</v>
      </c>
      <c r="J427" s="7">
        <f>IFERROR(__xludf.DUMMYFUNCTION("""COMPUTED_VALUE"""),3000.0)</f>
        <v>3000</v>
      </c>
      <c r="K427" s="7">
        <f>IFERROR(__xludf.DUMMYFUNCTION("""COMPUTED_VALUE"""),3000.0)</f>
        <v>3000</v>
      </c>
      <c r="L427" s="7">
        <f>IFERROR(__xludf.DUMMYFUNCTION("""COMPUTED_VALUE"""),3000.0)</f>
        <v>3000</v>
      </c>
    </row>
    <row r="428" ht="15.75" customHeight="1">
      <c r="A428" s="5" t="s">
        <v>45</v>
      </c>
      <c r="C428" s="5" t="s">
        <v>21</v>
      </c>
      <c r="D428" s="5" t="s">
        <v>88</v>
      </c>
      <c r="E428" s="5">
        <v>2.0</v>
      </c>
      <c r="F428" s="7">
        <f>IFERROR(__xludf.DUMMYFUNCTION("""COMPUTED_VALUE"""),0.0)</f>
        <v>0</v>
      </c>
      <c r="G428" s="7">
        <f>IFERROR(__xludf.DUMMYFUNCTION("""COMPUTED_VALUE"""),0.0)</f>
        <v>0</v>
      </c>
      <c r="H428" s="7">
        <f>IFERROR(__xludf.DUMMYFUNCTION("""COMPUTED_VALUE"""),0.0)</f>
        <v>0</v>
      </c>
      <c r="I428" s="7">
        <f>IFERROR(__xludf.DUMMYFUNCTION("""COMPUTED_VALUE"""),0.0)</f>
        <v>0</v>
      </c>
      <c r="J428" s="7">
        <f>IFERROR(__xludf.DUMMYFUNCTION("""COMPUTED_VALUE"""),0.0)</f>
        <v>0</v>
      </c>
      <c r="K428" s="7">
        <f>IFERROR(__xludf.DUMMYFUNCTION("""COMPUTED_VALUE"""),0.0)</f>
        <v>0</v>
      </c>
      <c r="L428" s="7">
        <f>IFERROR(__xludf.DUMMYFUNCTION("""COMPUTED_VALUE"""),0.0)</f>
        <v>0</v>
      </c>
    </row>
    <row r="429" ht="15.75" customHeight="1">
      <c r="A429" s="5" t="s">
        <v>45</v>
      </c>
      <c r="C429" s="5" t="s">
        <v>21</v>
      </c>
      <c r="D429" s="5" t="s">
        <v>89</v>
      </c>
      <c r="E429" s="5">
        <v>1.2</v>
      </c>
      <c r="F429" s="7">
        <f>IFERROR(__xludf.DUMMYFUNCTION("""COMPUTED_VALUE"""),0.0)</f>
        <v>0</v>
      </c>
      <c r="G429" s="7">
        <f>IFERROR(__xludf.DUMMYFUNCTION("""COMPUTED_VALUE"""),0.0)</f>
        <v>0</v>
      </c>
      <c r="H429" s="7">
        <f>IFERROR(__xludf.DUMMYFUNCTION("""COMPUTED_VALUE"""),0.0)</f>
        <v>0</v>
      </c>
      <c r="I429" s="7">
        <f>IFERROR(__xludf.DUMMYFUNCTION("""COMPUTED_VALUE"""),0.0)</f>
        <v>0</v>
      </c>
      <c r="J429" s="7">
        <f>IFERROR(__xludf.DUMMYFUNCTION("""COMPUTED_VALUE"""),0.0)</f>
        <v>0</v>
      </c>
      <c r="K429" s="7">
        <f>IFERROR(__xludf.DUMMYFUNCTION("""COMPUTED_VALUE"""),0.0)</f>
        <v>0</v>
      </c>
      <c r="L429" s="7">
        <f>IFERROR(__xludf.DUMMYFUNCTION("""COMPUTED_VALUE"""),0.0)</f>
        <v>0</v>
      </c>
    </row>
    <row r="430" ht="15.75" customHeight="1">
      <c r="A430" s="5" t="s">
        <v>45</v>
      </c>
      <c r="C430" s="5" t="s">
        <v>21</v>
      </c>
      <c r="D430" s="5" t="s">
        <v>92</v>
      </c>
      <c r="E430" s="5">
        <v>0.8</v>
      </c>
      <c r="F430" s="7">
        <f>IFERROR(__xludf.DUMMYFUNCTION("""COMPUTED_VALUE"""),0.0)</f>
        <v>0</v>
      </c>
      <c r="G430" s="7">
        <f>IFERROR(__xludf.DUMMYFUNCTION("""COMPUTED_VALUE"""),0.0)</f>
        <v>0</v>
      </c>
      <c r="H430" s="7">
        <f>IFERROR(__xludf.DUMMYFUNCTION("""COMPUTED_VALUE"""),0.0)</f>
        <v>0</v>
      </c>
      <c r="I430" s="7">
        <f>IFERROR(__xludf.DUMMYFUNCTION("""COMPUTED_VALUE"""),0.0)</f>
        <v>0</v>
      </c>
      <c r="J430" s="7">
        <f>IFERROR(__xludf.DUMMYFUNCTION("""COMPUTED_VALUE"""),0.0)</f>
        <v>0</v>
      </c>
      <c r="K430" s="7">
        <f>IFERROR(__xludf.DUMMYFUNCTION("""COMPUTED_VALUE"""),0.0)</f>
        <v>0</v>
      </c>
      <c r="L430" s="7">
        <f>IFERROR(__xludf.DUMMYFUNCTION("""COMPUTED_VALUE"""),0.0)</f>
        <v>0</v>
      </c>
    </row>
    <row r="431" ht="15.75" customHeight="1">
      <c r="A431" s="5" t="s">
        <v>45</v>
      </c>
      <c r="B431" s="5">
        <v>7.0</v>
      </c>
      <c r="C431" s="5" t="s">
        <v>48</v>
      </c>
      <c r="D431" s="8" t="s">
        <v>94</v>
      </c>
      <c r="E431" s="5">
        <v>7.0</v>
      </c>
      <c r="F431" s="5"/>
      <c r="G431" s="5"/>
      <c r="H431" s="5"/>
      <c r="I431" s="5"/>
      <c r="J431" s="5"/>
      <c r="K431" s="5"/>
      <c r="L431" s="5"/>
    </row>
    <row r="432" ht="15.75" customHeight="1">
      <c r="A432" s="5" t="s">
        <v>45</v>
      </c>
      <c r="C432" s="5" t="s">
        <v>21</v>
      </c>
      <c r="D432" s="5" t="s">
        <v>95</v>
      </c>
      <c r="E432" s="5">
        <v>5.0</v>
      </c>
      <c r="F432" s="7">
        <f>IFERROR(__xludf.DUMMYFUNCTION("""COMPUTED_VALUE"""),19100.0)</f>
        <v>19100</v>
      </c>
      <c r="G432" s="7">
        <f>IFERROR(__xludf.DUMMYFUNCTION("""COMPUTED_VALUE"""),26000.0)</f>
        <v>26000</v>
      </c>
      <c r="H432" s="7">
        <f>IFERROR(__xludf.DUMMYFUNCTION("""COMPUTED_VALUE"""),52000.0)</f>
        <v>52000</v>
      </c>
      <c r="I432" s="7">
        <f>IFERROR(__xludf.DUMMYFUNCTION("""COMPUTED_VALUE"""),11900.0)</f>
        <v>11900</v>
      </c>
      <c r="J432" s="7">
        <f>IFERROR(__xludf.DUMMYFUNCTION("""COMPUTED_VALUE"""),27900.0)</f>
        <v>27900</v>
      </c>
      <c r="K432" s="7">
        <f>IFERROR(__xludf.DUMMYFUNCTION("""COMPUTED_VALUE"""),25800.0)</f>
        <v>25800</v>
      </c>
      <c r="L432" s="7">
        <f>IFERROR(__xludf.DUMMYFUNCTION("""COMPUTED_VALUE"""),17900.0)</f>
        <v>17900</v>
      </c>
    </row>
    <row r="433" ht="15.75" customHeight="1">
      <c r="A433" s="5" t="s">
        <v>45</v>
      </c>
      <c r="C433" s="5" t="s">
        <v>21</v>
      </c>
      <c r="D433" s="5" t="s">
        <v>96</v>
      </c>
      <c r="E433" s="5">
        <v>2.0</v>
      </c>
      <c r="F433" s="7">
        <f>IFERROR(__xludf.DUMMYFUNCTION("""COMPUTED_VALUE"""),700.0)</f>
        <v>700</v>
      </c>
      <c r="G433" s="7">
        <f>IFERROR(__xludf.DUMMYFUNCTION("""COMPUTED_VALUE"""),500.0)</f>
        <v>500</v>
      </c>
      <c r="H433" s="7">
        <f>IFERROR(__xludf.DUMMYFUNCTION("""COMPUTED_VALUE"""),800.0)</f>
        <v>800</v>
      </c>
      <c r="I433" s="7">
        <f>IFERROR(__xludf.DUMMYFUNCTION("""COMPUTED_VALUE"""),600.0)</f>
        <v>600</v>
      </c>
      <c r="J433" s="7">
        <f>IFERROR(__xludf.DUMMYFUNCTION("""COMPUTED_VALUE"""),600.0)</f>
        <v>600</v>
      </c>
      <c r="K433" s="7">
        <f>IFERROR(__xludf.DUMMYFUNCTION("""COMPUTED_VALUE"""),600.0)</f>
        <v>600</v>
      </c>
      <c r="L433" s="7">
        <f>IFERROR(__xludf.DUMMYFUNCTION("""COMPUTED_VALUE"""),600.0)</f>
        <v>600</v>
      </c>
    </row>
    <row r="434" ht="15.75" customHeight="1">
      <c r="A434" s="5" t="s">
        <v>45</v>
      </c>
      <c r="B434" s="5">
        <v>8.0</v>
      </c>
      <c r="C434" s="5" t="s">
        <v>48</v>
      </c>
      <c r="D434" s="8" t="s">
        <v>97</v>
      </c>
      <c r="E434" s="5">
        <v>8.0</v>
      </c>
      <c r="F434" s="5"/>
      <c r="G434" s="5"/>
      <c r="H434" s="5"/>
      <c r="I434" s="5"/>
      <c r="J434" s="5"/>
      <c r="K434" s="5"/>
      <c r="L434" s="5"/>
    </row>
    <row r="435" ht="15.75" customHeight="1">
      <c r="A435" s="5" t="s">
        <v>45</v>
      </c>
      <c r="C435" s="5" t="s">
        <v>21</v>
      </c>
      <c r="D435" s="5" t="s">
        <v>98</v>
      </c>
      <c r="E435" s="5">
        <v>6.0</v>
      </c>
      <c r="F435" s="7">
        <f>IFERROR(__xludf.DUMMYFUNCTION("""COMPUTED_VALUE"""),0.0)</f>
        <v>0</v>
      </c>
      <c r="G435" s="7">
        <f>IFERROR(__xludf.DUMMYFUNCTION("""COMPUTED_VALUE"""),0.0)</f>
        <v>0</v>
      </c>
      <c r="H435" s="7">
        <f>IFERROR(__xludf.DUMMYFUNCTION("""COMPUTED_VALUE"""),0.0)</f>
        <v>0</v>
      </c>
      <c r="I435" s="7">
        <f>IFERROR(__xludf.DUMMYFUNCTION("""COMPUTED_VALUE"""),0.0)</f>
        <v>0</v>
      </c>
      <c r="J435" s="7">
        <f>IFERROR(__xludf.DUMMYFUNCTION("""COMPUTED_VALUE"""),0.0)</f>
        <v>0</v>
      </c>
      <c r="K435" s="7">
        <f>IFERROR(__xludf.DUMMYFUNCTION("""COMPUTED_VALUE"""),0.0)</f>
        <v>0</v>
      </c>
      <c r="L435" s="7">
        <f>IFERROR(__xludf.DUMMYFUNCTION("""COMPUTED_VALUE"""),0.0)</f>
        <v>0</v>
      </c>
    </row>
    <row r="436" ht="15.75" customHeight="1">
      <c r="A436" s="5" t="s">
        <v>45</v>
      </c>
      <c r="C436" s="5" t="s">
        <v>21</v>
      </c>
      <c r="D436" s="5" t="s">
        <v>99</v>
      </c>
      <c r="E436" s="5">
        <v>2.0</v>
      </c>
      <c r="F436" s="7">
        <f>IFERROR(__xludf.DUMMYFUNCTION("""COMPUTED_VALUE"""),0.0)</f>
        <v>0</v>
      </c>
      <c r="G436" s="7">
        <f>IFERROR(__xludf.DUMMYFUNCTION("""COMPUTED_VALUE"""),0.0)</f>
        <v>0</v>
      </c>
      <c r="H436" s="7">
        <f>IFERROR(__xludf.DUMMYFUNCTION("""COMPUTED_VALUE"""),0.0)</f>
        <v>0</v>
      </c>
      <c r="I436" s="7">
        <f>IFERROR(__xludf.DUMMYFUNCTION("""COMPUTED_VALUE"""),0.0)</f>
        <v>0</v>
      </c>
      <c r="J436" s="7">
        <f>IFERROR(__xludf.DUMMYFUNCTION("""COMPUTED_VALUE"""),0.0)</f>
        <v>0</v>
      </c>
      <c r="K436" s="7">
        <f>IFERROR(__xludf.DUMMYFUNCTION("""COMPUTED_VALUE"""),0.0)</f>
        <v>0</v>
      </c>
      <c r="L436" s="7">
        <f>IFERROR(__xludf.DUMMYFUNCTION("""COMPUTED_VALUE"""),0.0)</f>
        <v>0</v>
      </c>
    </row>
    <row r="437" ht="15.75" customHeight="1">
      <c r="A437" s="5" t="s">
        <v>45</v>
      </c>
      <c r="B437" s="5">
        <v>9.0</v>
      </c>
      <c r="C437" s="5" t="s">
        <v>48</v>
      </c>
      <c r="D437" s="8" t="s">
        <v>101</v>
      </c>
      <c r="E437" s="5">
        <v>6.0</v>
      </c>
      <c r="F437" s="5"/>
      <c r="G437" s="5"/>
      <c r="H437" s="5"/>
      <c r="I437" s="5"/>
      <c r="J437" s="5"/>
      <c r="K437" s="5"/>
      <c r="L437" s="5"/>
    </row>
    <row r="438" ht="15.75" customHeight="1">
      <c r="A438" s="5" t="s">
        <v>45</v>
      </c>
      <c r="C438" s="5" t="s">
        <v>21</v>
      </c>
      <c r="D438" s="5" t="s">
        <v>102</v>
      </c>
      <c r="E438" s="5">
        <v>2.0</v>
      </c>
      <c r="F438" s="7">
        <f>IFERROR(__xludf.DUMMYFUNCTION("""COMPUTED_VALUE"""),713.6109588307845)</f>
        <v>713.6109588</v>
      </c>
      <c r="G438" s="7">
        <f>IFERROR(__xludf.DUMMYFUNCTION("""COMPUTED_VALUE"""),497.9715102121362)</f>
        <v>497.9715102</v>
      </c>
      <c r="H438" s="7">
        <f>IFERROR(__xludf.DUMMYFUNCTION("""COMPUTED_VALUE"""),743.9931491859891)</f>
        <v>743.9931492</v>
      </c>
      <c r="I438" s="7">
        <f>IFERROR(__xludf.DUMMYFUNCTION("""COMPUTED_VALUE"""),406.0839101134683)</f>
        <v>406.0839101</v>
      </c>
      <c r="J438" s="7">
        <f>IFERROR(__xludf.DUMMYFUNCTION("""COMPUTED_VALUE"""),258.61913253576716)</f>
        <v>258.6191325</v>
      </c>
      <c r="K438" s="7">
        <f>IFERROR(__xludf.DUMMYFUNCTION("""COMPUTED_VALUE"""),224.53179701529348)</f>
        <v>224.531797</v>
      </c>
      <c r="L438" s="7">
        <f>IFERROR(__xludf.DUMMYFUNCTION("""COMPUTED_VALUE"""),159.3212421065614)</f>
        <v>159.3212421</v>
      </c>
    </row>
    <row r="439" ht="15.75" customHeight="1">
      <c r="A439" s="5" t="s">
        <v>45</v>
      </c>
      <c r="C439" s="5" t="s">
        <v>21</v>
      </c>
      <c r="D439" s="5" t="s">
        <v>103</v>
      </c>
      <c r="E439" s="5">
        <v>2.0</v>
      </c>
      <c r="F439" s="7">
        <f>IFERROR(__xludf.DUMMYFUNCTION("""COMPUTED_VALUE"""),0.0)</f>
        <v>0</v>
      </c>
      <c r="G439" s="7">
        <f>IFERROR(__xludf.DUMMYFUNCTION("""COMPUTED_VALUE"""),0.0)</f>
        <v>0</v>
      </c>
      <c r="H439" s="7">
        <f>IFERROR(__xludf.DUMMYFUNCTION("""COMPUTED_VALUE"""),0.0)</f>
        <v>0</v>
      </c>
      <c r="I439" s="7">
        <f>IFERROR(__xludf.DUMMYFUNCTION("""COMPUTED_VALUE"""),0.0)</f>
        <v>0</v>
      </c>
      <c r="J439" s="7">
        <f>IFERROR(__xludf.DUMMYFUNCTION("""COMPUTED_VALUE"""),0.0)</f>
        <v>0</v>
      </c>
      <c r="K439" s="7">
        <f>IFERROR(__xludf.DUMMYFUNCTION("""COMPUTED_VALUE"""),0.0)</f>
        <v>0</v>
      </c>
      <c r="L439" s="7">
        <f>IFERROR(__xludf.DUMMYFUNCTION("""COMPUTED_VALUE"""),0.0)</f>
        <v>0</v>
      </c>
    </row>
    <row r="440" ht="15.75" customHeight="1">
      <c r="A440" s="5" t="s">
        <v>45</v>
      </c>
      <c r="C440" s="5" t="s">
        <v>21</v>
      </c>
      <c r="D440" s="5" t="s">
        <v>104</v>
      </c>
      <c r="E440" s="5">
        <v>2.0</v>
      </c>
      <c r="F440" s="7">
        <f>IFERROR(__xludf.DUMMYFUNCTION("""COMPUTED_VALUE"""),0.0)</f>
        <v>0</v>
      </c>
      <c r="G440" s="7">
        <f>IFERROR(__xludf.DUMMYFUNCTION("""COMPUTED_VALUE"""),0.0)</f>
        <v>0</v>
      </c>
      <c r="H440" s="7">
        <f>IFERROR(__xludf.DUMMYFUNCTION("""COMPUTED_VALUE"""),0.0)</f>
        <v>0</v>
      </c>
      <c r="I440" s="7">
        <f>IFERROR(__xludf.DUMMYFUNCTION("""COMPUTED_VALUE"""),0.0)</f>
        <v>0</v>
      </c>
      <c r="J440" s="7">
        <f>IFERROR(__xludf.DUMMYFUNCTION("""COMPUTED_VALUE"""),0.0)</f>
        <v>0</v>
      </c>
      <c r="K440" s="7">
        <f>IFERROR(__xludf.DUMMYFUNCTION("""COMPUTED_VALUE"""),0.0)</f>
        <v>0</v>
      </c>
      <c r="L440" s="7">
        <f>IFERROR(__xludf.DUMMYFUNCTION("""COMPUTED_VALUE"""),0.0)</f>
        <v>0</v>
      </c>
    </row>
    <row r="441" ht="15.75" customHeight="1">
      <c r="A441" s="5" t="s">
        <v>45</v>
      </c>
      <c r="B441" s="5">
        <v>10.0</v>
      </c>
      <c r="C441" s="5" t="s">
        <v>48</v>
      </c>
      <c r="D441" s="8" t="s">
        <v>107</v>
      </c>
      <c r="E441" s="5">
        <v>7.0</v>
      </c>
      <c r="F441" s="5"/>
      <c r="G441" s="5"/>
      <c r="H441" s="5"/>
      <c r="I441" s="5"/>
      <c r="J441" s="5"/>
      <c r="K441" s="5"/>
      <c r="L441" s="5"/>
    </row>
    <row r="442" ht="15.75" customHeight="1">
      <c r="A442" s="5" t="s">
        <v>45</v>
      </c>
      <c r="C442" s="5" t="s">
        <v>21</v>
      </c>
      <c r="D442" s="5" t="s">
        <v>108</v>
      </c>
      <c r="E442" s="5">
        <v>3.0</v>
      </c>
      <c r="F442" s="7">
        <f>IFERROR(__xludf.DUMMYFUNCTION("""COMPUTED_VALUE"""),61.51260381457351)</f>
        <v>61.51260381</v>
      </c>
      <c r="G442" s="7">
        <f>IFERROR(__xludf.DUMMYFUNCTION("""COMPUTED_VALUE"""),42.813249946674176)</f>
        <v>42.81324995</v>
      </c>
      <c r="H442" s="7">
        <f>IFERROR(__xludf.DUMMYFUNCTION("""COMPUTED_VALUE"""),81.40775516193048)</f>
        <v>81.40775516</v>
      </c>
      <c r="I442" s="7">
        <f>IFERROR(__xludf.DUMMYFUNCTION("""COMPUTED_VALUE"""),42.46776760939296)</f>
        <v>42.46776761</v>
      </c>
      <c r="J442" s="7">
        <f>IFERROR(__xludf.DUMMYFUNCTION("""COMPUTED_VALUE"""),83.40702669557332)</f>
        <v>83.4070267</v>
      </c>
      <c r="K442" s="7">
        <f>IFERROR(__xludf.DUMMYFUNCTION("""COMPUTED_VALUE"""),30.882163101008086)</f>
        <v>30.8821631</v>
      </c>
      <c r="L442" s="7">
        <f>IFERROR(__xludf.DUMMYFUNCTION("""COMPUTED_VALUE"""),73.17869457957322)</f>
        <v>73.17869458</v>
      </c>
    </row>
    <row r="443" ht="15.75" customHeight="1">
      <c r="A443" s="5" t="s">
        <v>45</v>
      </c>
      <c r="C443" s="5" t="s">
        <v>21</v>
      </c>
      <c r="D443" s="5" t="s">
        <v>109</v>
      </c>
      <c r="E443" s="5">
        <v>2.0</v>
      </c>
      <c r="F443" s="7">
        <f>IFERROR(__xludf.DUMMYFUNCTION("""COMPUTED_VALUE"""),72.64851485148515)</f>
        <v>72.64851485</v>
      </c>
      <c r="G443" s="7">
        <f>IFERROR(__xludf.DUMMYFUNCTION("""COMPUTED_VALUE"""),77.83572359843546)</f>
        <v>77.8357236</v>
      </c>
      <c r="H443" s="7">
        <f>IFERROR(__xludf.DUMMYFUNCTION("""COMPUTED_VALUE"""),113.80608722936931)</f>
        <v>113.8060872</v>
      </c>
      <c r="I443" s="7">
        <f>IFERROR(__xludf.DUMMYFUNCTION("""COMPUTED_VALUE"""),93.02325581395348)</f>
        <v>93.02325581</v>
      </c>
      <c r="J443" s="7">
        <f>IFERROR(__xludf.DUMMYFUNCTION("""COMPUTED_VALUE"""),84.04645476772616)</f>
        <v>84.04645477</v>
      </c>
      <c r="K443" s="7">
        <f>IFERROR(__xludf.DUMMYFUNCTION("""COMPUTED_VALUE"""),90.57315233785822)</f>
        <v>90.57315234</v>
      </c>
      <c r="L443" s="7">
        <f>IFERROR(__xludf.DUMMYFUNCTION("""COMPUTED_VALUE"""),77.37819025522042)</f>
        <v>77.37819026</v>
      </c>
    </row>
    <row r="444" ht="15.75" customHeight="1">
      <c r="A444" s="5" t="s">
        <v>45</v>
      </c>
      <c r="C444" s="5" t="s">
        <v>21</v>
      </c>
      <c r="D444" s="5" t="s">
        <v>110</v>
      </c>
      <c r="E444" s="5">
        <v>2.0</v>
      </c>
      <c r="F444" s="7">
        <f>IFERROR(__xludf.DUMMYFUNCTION("""COMPUTED_VALUE"""),100.0)</f>
        <v>100</v>
      </c>
      <c r="G444" s="7">
        <f>IFERROR(__xludf.DUMMYFUNCTION("""COMPUTED_VALUE"""),100.0)</f>
        <v>100</v>
      </c>
      <c r="H444" s="7">
        <f>IFERROR(__xludf.DUMMYFUNCTION("""COMPUTED_VALUE"""),100.0)</f>
        <v>100</v>
      </c>
      <c r="I444" s="7">
        <f>IFERROR(__xludf.DUMMYFUNCTION("""COMPUTED_VALUE"""),100.0)</f>
        <v>100</v>
      </c>
      <c r="J444" s="7">
        <f>IFERROR(__xludf.DUMMYFUNCTION("""COMPUTED_VALUE"""),100.0)</f>
        <v>100</v>
      </c>
      <c r="K444" s="7">
        <f>IFERROR(__xludf.DUMMYFUNCTION("""COMPUTED_VALUE"""),100.0)</f>
        <v>100</v>
      </c>
      <c r="L444" s="7">
        <f>IFERROR(__xludf.DUMMYFUNCTION("""COMPUTED_VALUE"""),100.0)</f>
        <v>100</v>
      </c>
    </row>
    <row r="445" ht="15.75" customHeight="1">
      <c r="A445" s="5" t="s">
        <v>45</v>
      </c>
      <c r="B445" s="15">
        <v>11.0</v>
      </c>
      <c r="C445" s="5" t="s">
        <v>48</v>
      </c>
      <c r="D445" s="8" t="s">
        <v>111</v>
      </c>
      <c r="E445" s="15">
        <v>4.0</v>
      </c>
      <c r="F445" s="5"/>
      <c r="G445" s="5"/>
      <c r="H445" s="5"/>
      <c r="I445" s="5"/>
      <c r="J445" s="5"/>
      <c r="K445" s="5"/>
      <c r="L445" s="5"/>
    </row>
    <row r="446" ht="15.75" customHeight="1">
      <c r="A446" s="5" t="s">
        <v>45</v>
      </c>
      <c r="C446" s="5" t="b">
        <v>0</v>
      </c>
      <c r="D446" s="15" t="s">
        <v>112</v>
      </c>
      <c r="E446" s="15">
        <v>2.0</v>
      </c>
      <c r="F446" s="7">
        <f>IFERROR(__xludf.DUMMYFUNCTION("""COMPUTED_VALUE"""),0.0)</f>
        <v>0</v>
      </c>
      <c r="G446" s="7">
        <f>IFERROR(__xludf.DUMMYFUNCTION("""COMPUTED_VALUE"""),0.0)</f>
        <v>0</v>
      </c>
      <c r="H446" s="7">
        <f>IFERROR(__xludf.DUMMYFUNCTION("""COMPUTED_VALUE"""),0.0)</f>
        <v>0</v>
      </c>
      <c r="I446" s="7">
        <f>IFERROR(__xludf.DUMMYFUNCTION("""COMPUTED_VALUE"""),0.0)</f>
        <v>0</v>
      </c>
      <c r="J446" s="7">
        <f>IFERROR(__xludf.DUMMYFUNCTION("""COMPUTED_VALUE"""),0.0)</f>
        <v>0</v>
      </c>
      <c r="K446" s="7">
        <f>IFERROR(__xludf.DUMMYFUNCTION("""COMPUTED_VALUE"""),0.0)</f>
        <v>0</v>
      </c>
      <c r="L446" s="7">
        <f>IFERROR(__xludf.DUMMYFUNCTION("""COMPUTED_VALUE"""),0.0)</f>
        <v>0</v>
      </c>
    </row>
    <row r="447" ht="15.75" customHeight="1">
      <c r="A447" s="5" t="s">
        <v>45</v>
      </c>
      <c r="C447" s="5" t="s">
        <v>21</v>
      </c>
      <c r="D447" s="15" t="s">
        <v>113</v>
      </c>
      <c r="E447" s="15">
        <v>2.0</v>
      </c>
      <c r="F447" s="7">
        <f>IFERROR(__xludf.DUMMYFUNCTION("""COMPUTED_VALUE"""),100.0)</f>
        <v>100</v>
      </c>
      <c r="G447" s="7">
        <f>IFERROR(__xludf.DUMMYFUNCTION("""COMPUTED_VALUE"""),100.0)</f>
        <v>100</v>
      </c>
      <c r="H447" s="7">
        <f>IFERROR(__xludf.DUMMYFUNCTION("""COMPUTED_VALUE"""),100.0)</f>
        <v>100</v>
      </c>
      <c r="I447" s="7">
        <f>IFERROR(__xludf.DUMMYFUNCTION("""COMPUTED_VALUE"""),100.0)</f>
        <v>100</v>
      </c>
      <c r="J447" s="7">
        <f>IFERROR(__xludf.DUMMYFUNCTION("""COMPUTED_VALUE"""),100.0)</f>
        <v>100</v>
      </c>
      <c r="K447" s="7">
        <f>IFERROR(__xludf.DUMMYFUNCTION("""COMPUTED_VALUE"""),100.0)</f>
        <v>100</v>
      </c>
      <c r="L447" s="7">
        <f>IFERROR(__xludf.DUMMYFUNCTION("""COMPUTED_VALUE"""),100.0)</f>
        <v>100</v>
      </c>
    </row>
    <row r="448" ht="15.75" customHeight="1">
      <c r="A448" s="5" t="s">
        <v>45</v>
      </c>
      <c r="B448" s="15">
        <v>12.0</v>
      </c>
      <c r="C448" s="5" t="s">
        <v>48</v>
      </c>
      <c r="D448" s="8" t="s">
        <v>117</v>
      </c>
    </row>
    <row r="449" ht="15.75" customHeight="1">
      <c r="A449" s="5" t="s">
        <v>45</v>
      </c>
      <c r="C449" s="5" t="s">
        <v>21</v>
      </c>
      <c r="D449" s="15" t="s">
        <v>118</v>
      </c>
    </row>
    <row r="450" ht="15.75" customHeight="1">
      <c r="A450" s="5" t="s">
        <v>45</v>
      </c>
      <c r="C450" s="5" t="s">
        <v>21</v>
      </c>
      <c r="D450" s="15" t="s">
        <v>119</v>
      </c>
    </row>
    <row r="451" ht="15.75" customHeight="1">
      <c r="A451" s="5" t="s">
        <v>45</v>
      </c>
      <c r="C451" s="5" t="s">
        <v>21</v>
      </c>
      <c r="D451" s="15" t="s">
        <v>120</v>
      </c>
    </row>
    <row r="452" ht="15.75" customHeight="1">
      <c r="A452" s="5" t="s">
        <v>46</v>
      </c>
      <c r="B452" s="5">
        <v>1.0</v>
      </c>
      <c r="C452" s="5" t="s">
        <v>21</v>
      </c>
      <c r="D452" s="5" t="s">
        <v>23</v>
      </c>
      <c r="E452" s="5">
        <v>14.0</v>
      </c>
      <c r="F452" s="7">
        <f>IFERROR(__xludf.DUMMYFUNCTION("IMPORTRANGE(""1e7--NjE9N54w7uxIeTVQ2x149gW2CjGTf8gPedLtEqw"",""MDK!CB5:CB45"")"),60.0)</f>
        <v>60</v>
      </c>
      <c r="G452" s="7">
        <f>IFERROR(__xludf.DUMMYFUNCTION("IMPORTRANGE(""1e7--NjE9N54w7uxIeTVQ2x149gW2CjGTf8gPedLtEqw"",""MGT!CB5:CB45"")"),60.0)</f>
        <v>60</v>
      </c>
      <c r="H452" s="7">
        <f>IFERROR(__xludf.DUMMYFUNCTION("IMPORTRANGE(""1e7--NjE9N54w7uxIeTVQ2x149gW2CjGTf8gPedLtEqw"",""NGW!CB5:CB45"")"),60.0)</f>
        <v>60</v>
      </c>
      <c r="I452" s="7">
        <f>IFERROR(__xludf.DUMMYFUNCTION("IMPORTRANGE(""1e7--NjE9N54w7uxIeTVQ2x149gW2CjGTf8gPedLtEqw"",""MPT!CB5:CB45"")"),60.0)</f>
        <v>60</v>
      </c>
      <c r="J452" s="7">
        <f>IFERROR(__xludf.DUMMYFUNCTION("IMPORTRANGE(""1e7--NjE9N54w7uxIeTVQ2x149gW2CjGTf8gPedLtEqw"",""CRB!CB5:CB45"")"),60.0)</f>
        <v>60</v>
      </c>
      <c r="K452" s="7">
        <f>IFERROR(__xludf.DUMMYFUNCTION("IMPORTRANGE(""1e7--NjE9N54w7uxIeTVQ2x149gW2CjGTf8gPedLtEqw"",""DLP!CB5:CB45"")"),60.0)</f>
        <v>60</v>
      </c>
      <c r="L452" s="7">
        <f>IFERROR(__xludf.DUMMYFUNCTION("IMPORTRANGE(""1e7--NjE9N54w7uxIeTVQ2x149gW2CjGTf8gPedLtEqw"",""MTN!CB5:CB45"")"),60.0)</f>
        <v>60</v>
      </c>
    </row>
    <row r="453" ht="15.75" customHeight="1">
      <c r="A453" s="5" t="s">
        <v>46</v>
      </c>
      <c r="B453" s="5">
        <v>2.0</v>
      </c>
      <c r="C453" s="5" t="s">
        <v>21</v>
      </c>
      <c r="D453" s="5" t="s">
        <v>40</v>
      </c>
      <c r="E453" s="5">
        <v>12.0</v>
      </c>
      <c r="F453" s="7">
        <f>IFERROR(__xludf.DUMMYFUNCTION("""COMPUTED_VALUE"""),569.068902961252)</f>
        <v>569.068903</v>
      </c>
      <c r="G453" s="7">
        <f>IFERROR(__xludf.DUMMYFUNCTION("""COMPUTED_VALUE"""),839.93681443332)</f>
        <v>839.9368144</v>
      </c>
      <c r="H453" s="7">
        <f>IFERROR(__xludf.DUMMYFUNCTION("""COMPUTED_VALUE"""),877.3616293321661)</f>
        <v>877.3616293</v>
      </c>
      <c r="I453" s="7">
        <f>IFERROR(__xludf.DUMMYFUNCTION("""COMPUTED_VALUE"""),575.065694038276)</f>
        <v>575.065694</v>
      </c>
      <c r="J453" s="7">
        <f>IFERROR(__xludf.DUMMYFUNCTION("""COMPUTED_VALUE"""),588.901167598412)</f>
        <v>588.9011676</v>
      </c>
      <c r="K453" s="7">
        <f>IFERROR(__xludf.DUMMYFUNCTION("""COMPUTED_VALUE"""),648.924946619202)</f>
        <v>648.9249466</v>
      </c>
      <c r="L453" s="7">
        <f>IFERROR(__xludf.DUMMYFUNCTION("""COMPUTED_VALUE"""),1220.8952476129)</f>
        <v>1220.895248</v>
      </c>
    </row>
    <row r="454" ht="15.75" customHeight="1">
      <c r="A454" s="5" t="s">
        <v>46</v>
      </c>
      <c r="B454" s="5">
        <v>3.0</v>
      </c>
      <c r="C454" s="5" t="s">
        <v>48</v>
      </c>
      <c r="D454" s="8" t="s">
        <v>49</v>
      </c>
      <c r="E454" s="5">
        <v>14.0</v>
      </c>
      <c r="F454" s="5"/>
      <c r="G454" s="5"/>
      <c r="H454" s="5"/>
      <c r="I454" s="5"/>
      <c r="J454" s="5"/>
      <c r="K454" s="5"/>
      <c r="L454" s="5"/>
    </row>
    <row r="455" ht="15.75" customHeight="1">
      <c r="A455" s="5" t="s">
        <v>46</v>
      </c>
      <c r="C455" s="5" t="s">
        <v>21</v>
      </c>
      <c r="D455" s="5" t="s">
        <v>51</v>
      </c>
      <c r="E455" s="5">
        <v>6.0</v>
      </c>
      <c r="F455" s="7">
        <f>IFERROR(__xludf.DUMMYFUNCTION("""COMPUTED_VALUE"""),3224.38154448001)</f>
        <v>3224.381544</v>
      </c>
      <c r="G455" s="7">
        <f>IFERROR(__xludf.DUMMYFUNCTION("""COMPUTED_VALUE"""),3621.4134827131365)</f>
        <v>3621.413483</v>
      </c>
      <c r="H455" s="7">
        <f>IFERROR(__xludf.DUMMYFUNCTION("""COMPUTED_VALUE"""),5539.486916519013)</f>
        <v>5539.486917</v>
      </c>
      <c r="I455" s="7">
        <f>IFERROR(__xludf.DUMMYFUNCTION("""COMPUTED_VALUE"""),2527.1233236551684)</f>
        <v>2527.123324</v>
      </c>
      <c r="J455" s="7">
        <f>IFERROR(__xludf.DUMMYFUNCTION("""COMPUTED_VALUE"""),7419.13313497961)</f>
        <v>7419.133135</v>
      </c>
      <c r="K455" s="7">
        <f>IFERROR(__xludf.DUMMYFUNCTION("""COMPUTED_VALUE"""),7919.8271642001655)</f>
        <v>7919.827164</v>
      </c>
      <c r="L455" s="7">
        <f>IFERROR(__xludf.DUMMYFUNCTION("""COMPUTED_VALUE"""),1379.1024655172869)</f>
        <v>1379.102466</v>
      </c>
    </row>
    <row r="456" ht="15.75" customHeight="1">
      <c r="A456" s="5" t="s">
        <v>46</v>
      </c>
      <c r="C456" s="5" t="s">
        <v>21</v>
      </c>
      <c r="D456" s="5" t="s">
        <v>53</v>
      </c>
      <c r="E456" s="5">
        <v>6.0</v>
      </c>
      <c r="F456" s="7">
        <f>IFERROR(__xludf.DUMMYFUNCTION("""COMPUTED_VALUE"""),45.745052061524724)</f>
        <v>45.74505206</v>
      </c>
      <c r="G456" s="7">
        <f>IFERROR(__xludf.DUMMYFUNCTION("""COMPUTED_VALUE"""),106.09926082365364)</f>
        <v>106.0992608</v>
      </c>
      <c r="H456" s="7">
        <f>IFERROR(__xludf.DUMMYFUNCTION("""COMPUTED_VALUE"""),95.8429974626796)</f>
        <v>95.84299746</v>
      </c>
      <c r="I456" s="7">
        <f>IFERROR(__xludf.DUMMYFUNCTION("""COMPUTED_VALUE"""),53.15748307020974)</f>
        <v>53.15748307</v>
      </c>
      <c r="J456" s="7">
        <f>IFERROR(__xludf.DUMMYFUNCTION("""COMPUTED_VALUE"""),102.48380546483527)</f>
        <v>102.4838055</v>
      </c>
      <c r="K456" s="7">
        <f>IFERROR(__xludf.DUMMYFUNCTION("""COMPUTED_VALUE"""),110.80112468001175)</f>
        <v>110.8011247</v>
      </c>
      <c r="L456" s="7">
        <f>IFERROR(__xludf.DUMMYFUNCTION("""COMPUTED_VALUE"""),28.117921348935372)</f>
        <v>28.11792135</v>
      </c>
    </row>
    <row r="457" ht="15.75" customHeight="1">
      <c r="A457" s="5" t="s">
        <v>46</v>
      </c>
      <c r="C457" s="5" t="s">
        <v>21</v>
      </c>
      <c r="D457" s="5" t="s">
        <v>55</v>
      </c>
      <c r="E457" s="5">
        <v>2.0</v>
      </c>
      <c r="F457" s="7">
        <f>IFERROR(__xludf.DUMMYFUNCTION("""COMPUTED_VALUE"""),1661.165160235958)</f>
        <v>1661.16516</v>
      </c>
      <c r="G457" s="7">
        <f>IFERROR(__xludf.DUMMYFUNCTION("""COMPUTED_VALUE"""),1511.8236239441715)</f>
        <v>1511.823624</v>
      </c>
      <c r="H457" s="7">
        <f>IFERROR(__xludf.DUMMYFUNCTION("""COMPUTED_VALUE"""),4763.819292913732)</f>
        <v>4763.819293</v>
      </c>
      <c r="I457" s="7">
        <f>IFERROR(__xludf.DUMMYFUNCTION("""COMPUTED_VALUE"""),680.3604410522695)</f>
        <v>680.3604411</v>
      </c>
      <c r="J457" s="7">
        <f>IFERROR(__xludf.DUMMYFUNCTION("""COMPUTED_VALUE"""),2200.685896434235)</f>
        <v>2200.685896</v>
      </c>
      <c r="K457" s="7">
        <f>IFERROR(__xludf.DUMMYFUNCTION("""COMPUTED_VALUE"""),2610.4003666134427)</f>
        <v>2610.400367</v>
      </c>
      <c r="L457" s="7">
        <f>IFERROR(__xludf.DUMMYFUNCTION("""COMPUTED_VALUE"""),395.85362024859313)</f>
        <v>395.8536202</v>
      </c>
    </row>
    <row r="458" ht="15.75" customHeight="1">
      <c r="A458" s="5" t="s">
        <v>46</v>
      </c>
      <c r="B458" s="5">
        <v>4.0</v>
      </c>
      <c r="C458" s="5" t="s">
        <v>48</v>
      </c>
      <c r="D458" s="8" t="s">
        <v>62</v>
      </c>
      <c r="E458" s="5">
        <v>10.0</v>
      </c>
      <c r="F458" s="5"/>
      <c r="G458" s="5"/>
      <c r="H458" s="5"/>
      <c r="I458" s="5"/>
      <c r="J458" s="5"/>
      <c r="K458" s="5"/>
      <c r="L458" s="5"/>
    </row>
    <row r="459" ht="15.75" customHeight="1">
      <c r="A459" s="5" t="s">
        <v>46</v>
      </c>
      <c r="C459" s="5" t="s">
        <v>21</v>
      </c>
      <c r="D459" s="5" t="s">
        <v>64</v>
      </c>
      <c r="E459" s="5">
        <v>5.0</v>
      </c>
      <c r="F459" s="7">
        <f>IFERROR(__xludf.DUMMYFUNCTION("""COMPUTED_VALUE"""),0.0)</f>
        <v>0</v>
      </c>
      <c r="G459" s="7">
        <f>IFERROR(__xludf.DUMMYFUNCTION("""COMPUTED_VALUE"""),0.0)</f>
        <v>0</v>
      </c>
      <c r="H459" s="7">
        <f>IFERROR(__xludf.DUMMYFUNCTION("""COMPUTED_VALUE"""),0.0)</f>
        <v>0</v>
      </c>
      <c r="I459" s="7">
        <f>IFERROR(__xludf.DUMMYFUNCTION("""COMPUTED_VALUE"""),0.0)</f>
        <v>0</v>
      </c>
      <c r="J459" s="7">
        <f>IFERROR(__xludf.DUMMYFUNCTION("""COMPUTED_VALUE"""),0.0)</f>
        <v>0</v>
      </c>
      <c r="K459" s="7">
        <f>IFERROR(__xludf.DUMMYFUNCTION("""COMPUTED_VALUE"""),0.0)</f>
        <v>0</v>
      </c>
      <c r="L459" s="7">
        <f>IFERROR(__xludf.DUMMYFUNCTION("""COMPUTED_VALUE"""),0.0)</f>
        <v>0</v>
      </c>
    </row>
    <row r="460" ht="15.75" customHeight="1">
      <c r="A460" s="5" t="s">
        <v>46</v>
      </c>
      <c r="C460" s="5" t="s">
        <v>21</v>
      </c>
      <c r="D460" s="5" t="s">
        <v>70</v>
      </c>
      <c r="F460" s="7">
        <f>IFERROR(__xludf.DUMMYFUNCTION("""COMPUTED_VALUE"""),0.0)</f>
        <v>0</v>
      </c>
      <c r="G460" s="7">
        <f>IFERROR(__xludf.DUMMYFUNCTION("""COMPUTED_VALUE"""),0.0)</f>
        <v>0</v>
      </c>
      <c r="H460" s="7">
        <f>IFERROR(__xludf.DUMMYFUNCTION("""COMPUTED_VALUE"""),0.0)</f>
        <v>0</v>
      </c>
      <c r="I460" s="7">
        <f>IFERROR(__xludf.DUMMYFUNCTION("""COMPUTED_VALUE"""),0.0)</f>
        <v>0</v>
      </c>
      <c r="J460" s="7">
        <f>IFERROR(__xludf.DUMMYFUNCTION("""COMPUTED_VALUE"""),0.0)</f>
        <v>0</v>
      </c>
      <c r="K460" s="7">
        <f>IFERROR(__xludf.DUMMYFUNCTION("""COMPUTED_VALUE"""),0.0)</f>
        <v>0</v>
      </c>
      <c r="L460" s="7">
        <f>IFERROR(__xludf.DUMMYFUNCTION("""COMPUTED_VALUE"""),0.0)</f>
        <v>0</v>
      </c>
    </row>
    <row r="461" ht="15.75" customHeight="1">
      <c r="A461" s="5" t="s">
        <v>46</v>
      </c>
      <c r="C461" s="5" t="s">
        <v>21</v>
      </c>
      <c r="D461" s="5" t="s">
        <v>73</v>
      </c>
      <c r="F461" s="7">
        <f>IFERROR(__xludf.DUMMYFUNCTION("""COMPUTED_VALUE"""),0.0)</f>
        <v>0</v>
      </c>
      <c r="G461" s="7">
        <f>IFERROR(__xludf.DUMMYFUNCTION("""COMPUTED_VALUE"""),0.0)</f>
        <v>0</v>
      </c>
      <c r="H461" s="7">
        <f>IFERROR(__xludf.DUMMYFUNCTION("""COMPUTED_VALUE"""),0.0)</f>
        <v>0</v>
      </c>
      <c r="I461" s="7">
        <f>IFERROR(__xludf.DUMMYFUNCTION("""COMPUTED_VALUE"""),0.0)</f>
        <v>0</v>
      </c>
      <c r="J461" s="7">
        <f>IFERROR(__xludf.DUMMYFUNCTION("""COMPUTED_VALUE"""),0.0)</f>
        <v>0</v>
      </c>
      <c r="K461" s="7">
        <f>IFERROR(__xludf.DUMMYFUNCTION("""COMPUTED_VALUE"""),0.0)</f>
        <v>0</v>
      </c>
      <c r="L461" s="7">
        <f>IFERROR(__xludf.DUMMYFUNCTION("""COMPUTED_VALUE"""),0.0)</f>
        <v>0</v>
      </c>
    </row>
    <row r="462" ht="15.75" customHeight="1">
      <c r="A462" s="5" t="s">
        <v>46</v>
      </c>
      <c r="C462" s="5" t="s">
        <v>21</v>
      </c>
      <c r="D462" s="5" t="s">
        <v>74</v>
      </c>
      <c r="F462" s="7">
        <f>IFERROR(__xludf.DUMMYFUNCTION("""COMPUTED_VALUE"""),0.0)</f>
        <v>0</v>
      </c>
      <c r="G462" s="7">
        <f>IFERROR(__xludf.DUMMYFUNCTION("""COMPUTED_VALUE"""),0.0)</f>
        <v>0</v>
      </c>
      <c r="H462" s="7">
        <f>IFERROR(__xludf.DUMMYFUNCTION("""COMPUTED_VALUE"""),0.0)</f>
        <v>0</v>
      </c>
      <c r="I462" s="7">
        <f>IFERROR(__xludf.DUMMYFUNCTION("""COMPUTED_VALUE"""),0.0)</f>
        <v>0</v>
      </c>
      <c r="J462" s="7">
        <f>IFERROR(__xludf.DUMMYFUNCTION("""COMPUTED_VALUE"""),0.0)</f>
        <v>0</v>
      </c>
      <c r="K462" s="7">
        <f>IFERROR(__xludf.DUMMYFUNCTION("""COMPUTED_VALUE"""),0.0)</f>
        <v>0</v>
      </c>
      <c r="L462" s="7">
        <f>IFERROR(__xludf.DUMMYFUNCTION("""COMPUTED_VALUE"""),0.0)</f>
        <v>0</v>
      </c>
    </row>
    <row r="463" ht="15.75" customHeight="1">
      <c r="A463" s="5" t="s">
        <v>46</v>
      </c>
      <c r="C463" s="5" t="s">
        <v>21</v>
      </c>
      <c r="D463" s="5" t="s">
        <v>75</v>
      </c>
      <c r="E463" s="5">
        <v>5.0</v>
      </c>
      <c r="F463" s="7">
        <f>IFERROR(__xludf.DUMMYFUNCTION("""COMPUTED_VALUE"""),100.0)</f>
        <v>100</v>
      </c>
      <c r="G463" s="7">
        <f>IFERROR(__xludf.DUMMYFUNCTION("""COMPUTED_VALUE"""),100.0)</f>
        <v>100</v>
      </c>
      <c r="H463" s="7">
        <f>IFERROR(__xludf.DUMMYFUNCTION("""COMPUTED_VALUE"""),100.0)</f>
        <v>100</v>
      </c>
      <c r="I463" s="7">
        <f>IFERROR(__xludf.DUMMYFUNCTION("""COMPUTED_VALUE"""),100.0)</f>
        <v>100</v>
      </c>
      <c r="J463" s="7">
        <f>IFERROR(__xludf.DUMMYFUNCTION("""COMPUTED_VALUE"""),100.0)</f>
        <v>100</v>
      </c>
      <c r="K463" s="7">
        <f>IFERROR(__xludf.DUMMYFUNCTION("""COMPUTED_VALUE"""),100.0)</f>
        <v>100</v>
      </c>
      <c r="L463" s="7">
        <f>IFERROR(__xludf.DUMMYFUNCTION("""COMPUTED_VALUE"""),100.0)</f>
        <v>100</v>
      </c>
    </row>
    <row r="464" ht="15.75" customHeight="1">
      <c r="A464" s="5" t="s">
        <v>46</v>
      </c>
      <c r="B464" s="5">
        <v>5.0</v>
      </c>
      <c r="C464" s="5" t="s">
        <v>48</v>
      </c>
      <c r="D464" s="8" t="s">
        <v>76</v>
      </c>
      <c r="E464" s="5">
        <v>10.0</v>
      </c>
      <c r="F464" s="5"/>
      <c r="G464" s="5"/>
      <c r="H464" s="5"/>
      <c r="I464" s="5"/>
      <c r="J464" s="5"/>
      <c r="K464" s="5"/>
      <c r="L464" s="5"/>
    </row>
    <row r="465" ht="15.75" customHeight="1">
      <c r="A465" s="5" t="s">
        <v>46</v>
      </c>
      <c r="C465" s="5" t="s">
        <v>21</v>
      </c>
      <c r="D465" s="5" t="s">
        <v>79</v>
      </c>
      <c r="E465" s="5">
        <v>0.5</v>
      </c>
      <c r="F465" s="7">
        <f>IFERROR(__xludf.DUMMYFUNCTION("""COMPUTED_VALUE"""),0.0)</f>
        <v>0</v>
      </c>
      <c r="G465" s="7">
        <f>IFERROR(__xludf.DUMMYFUNCTION("""COMPUTED_VALUE"""),0.0)</f>
        <v>0</v>
      </c>
      <c r="H465" s="7">
        <f>IFERROR(__xludf.DUMMYFUNCTION("""COMPUTED_VALUE"""),0.0)</f>
        <v>0</v>
      </c>
      <c r="I465" s="7">
        <f>IFERROR(__xludf.DUMMYFUNCTION("""COMPUTED_VALUE"""),0.0)</f>
        <v>0</v>
      </c>
      <c r="J465" s="7">
        <f>IFERROR(__xludf.DUMMYFUNCTION("""COMPUTED_VALUE"""),0.0)</f>
        <v>0</v>
      </c>
      <c r="K465" s="7">
        <f>IFERROR(__xludf.DUMMYFUNCTION("""COMPUTED_VALUE"""),0.0)</f>
        <v>0</v>
      </c>
      <c r="L465" s="7">
        <f>IFERROR(__xludf.DUMMYFUNCTION("""COMPUTED_VALUE"""),0.0)</f>
        <v>0</v>
      </c>
    </row>
    <row r="466" ht="15.75" customHeight="1">
      <c r="A466" s="5" t="s">
        <v>46</v>
      </c>
      <c r="C466" s="5" t="s">
        <v>21</v>
      </c>
      <c r="D466" s="5" t="s">
        <v>81</v>
      </c>
      <c r="E466" s="5">
        <v>1.5</v>
      </c>
      <c r="F466" s="7">
        <f>IFERROR(__xludf.DUMMYFUNCTION("""COMPUTED_VALUE"""),0.0)</f>
        <v>0</v>
      </c>
      <c r="G466" s="7">
        <f>IFERROR(__xludf.DUMMYFUNCTION("""COMPUTED_VALUE"""),0.0)</f>
        <v>0</v>
      </c>
      <c r="H466" s="7">
        <f>IFERROR(__xludf.DUMMYFUNCTION("""COMPUTED_VALUE"""),0.0)</f>
        <v>0</v>
      </c>
      <c r="I466" s="7">
        <f>IFERROR(__xludf.DUMMYFUNCTION("""COMPUTED_VALUE"""),0.0)</f>
        <v>0</v>
      </c>
      <c r="J466" s="7">
        <f>IFERROR(__xludf.DUMMYFUNCTION("""COMPUTED_VALUE"""),0.0)</f>
        <v>0</v>
      </c>
      <c r="K466" s="7">
        <f>IFERROR(__xludf.DUMMYFUNCTION("""COMPUTED_VALUE"""),0.0)</f>
        <v>0</v>
      </c>
      <c r="L466" s="7">
        <f>IFERROR(__xludf.DUMMYFUNCTION("""COMPUTED_VALUE"""),0.0)</f>
        <v>0</v>
      </c>
    </row>
    <row r="467" ht="15.75" customHeight="1">
      <c r="A467" s="5" t="s">
        <v>46</v>
      </c>
      <c r="C467" s="5" t="s">
        <v>21</v>
      </c>
      <c r="D467" s="5" t="s">
        <v>82</v>
      </c>
      <c r="E467" s="5">
        <v>2.0</v>
      </c>
      <c r="F467" s="7">
        <f>IFERROR(__xludf.DUMMYFUNCTION("""COMPUTED_VALUE"""),0.0)</f>
        <v>0</v>
      </c>
      <c r="G467" s="7">
        <f>IFERROR(__xludf.DUMMYFUNCTION("""COMPUTED_VALUE"""),0.0)</f>
        <v>0</v>
      </c>
      <c r="H467" s="7">
        <f>IFERROR(__xludf.DUMMYFUNCTION("""COMPUTED_VALUE"""),0.0)</f>
        <v>0</v>
      </c>
      <c r="I467" s="7">
        <f>IFERROR(__xludf.DUMMYFUNCTION("""COMPUTED_VALUE"""),0.0)</f>
        <v>0</v>
      </c>
      <c r="J467" s="7">
        <f>IFERROR(__xludf.DUMMYFUNCTION("""COMPUTED_VALUE"""),0.0)</f>
        <v>0</v>
      </c>
      <c r="K467" s="7">
        <f>IFERROR(__xludf.DUMMYFUNCTION("""COMPUTED_VALUE"""),0.0)</f>
        <v>0</v>
      </c>
      <c r="L467" s="7">
        <f>IFERROR(__xludf.DUMMYFUNCTION("""COMPUTED_VALUE"""),0.0)</f>
        <v>0</v>
      </c>
    </row>
    <row r="468" ht="15.75" customHeight="1">
      <c r="A468" s="5" t="s">
        <v>46</v>
      </c>
      <c r="C468" s="5" t="s">
        <v>21</v>
      </c>
      <c r="D468" s="5" t="s">
        <v>83</v>
      </c>
      <c r="E468" s="5">
        <v>4.0</v>
      </c>
      <c r="F468" s="7">
        <f>IFERROR(__xludf.DUMMYFUNCTION("""COMPUTED_VALUE"""),100.0)</f>
        <v>100</v>
      </c>
      <c r="G468" s="7">
        <f>IFERROR(__xludf.DUMMYFUNCTION("""COMPUTED_VALUE"""),0.0)</f>
        <v>0</v>
      </c>
      <c r="H468" s="7">
        <f>IFERROR(__xludf.DUMMYFUNCTION("""COMPUTED_VALUE"""),0.0)</f>
        <v>0</v>
      </c>
      <c r="I468" s="7">
        <f>IFERROR(__xludf.DUMMYFUNCTION("""COMPUTED_VALUE"""),100.0)</f>
        <v>100</v>
      </c>
      <c r="J468" s="7">
        <f>IFERROR(__xludf.DUMMYFUNCTION("""COMPUTED_VALUE"""),0.0)</f>
        <v>0</v>
      </c>
      <c r="K468" s="7">
        <f>IFERROR(__xludf.DUMMYFUNCTION("""COMPUTED_VALUE"""),100.0)</f>
        <v>100</v>
      </c>
      <c r="L468" s="7">
        <f>IFERROR(__xludf.DUMMYFUNCTION("""COMPUTED_VALUE"""),0.0)</f>
        <v>0</v>
      </c>
    </row>
    <row r="469" ht="15.75" customHeight="1">
      <c r="A469" s="5" t="s">
        <v>46</v>
      </c>
      <c r="C469" s="5" t="s">
        <v>21</v>
      </c>
      <c r="D469" s="5" t="s">
        <v>84</v>
      </c>
      <c r="E469" s="5">
        <v>2.0</v>
      </c>
      <c r="F469" s="7">
        <f>IFERROR(__xludf.DUMMYFUNCTION("""COMPUTED_VALUE"""),100.0)</f>
        <v>100</v>
      </c>
      <c r="G469" s="7">
        <f>IFERROR(__xludf.DUMMYFUNCTION("""COMPUTED_VALUE"""),0.0)</f>
        <v>0</v>
      </c>
      <c r="H469" s="7">
        <f>IFERROR(__xludf.DUMMYFUNCTION("""COMPUTED_VALUE"""),0.0)</f>
        <v>0</v>
      </c>
      <c r="I469" s="7">
        <f>IFERROR(__xludf.DUMMYFUNCTION("""COMPUTED_VALUE"""),100.0)</f>
        <v>100</v>
      </c>
      <c r="J469" s="7">
        <f>IFERROR(__xludf.DUMMYFUNCTION("""COMPUTED_VALUE"""),0.0)</f>
        <v>0</v>
      </c>
      <c r="K469" s="7">
        <f>IFERROR(__xludf.DUMMYFUNCTION("""COMPUTED_VALUE"""),100.0)</f>
        <v>100</v>
      </c>
      <c r="L469" s="7">
        <f>IFERROR(__xludf.DUMMYFUNCTION("""COMPUTED_VALUE"""),0.0)</f>
        <v>0</v>
      </c>
    </row>
    <row r="470" ht="15.75" customHeight="1">
      <c r="A470" s="5" t="s">
        <v>46</v>
      </c>
      <c r="B470" s="5">
        <v>6.0</v>
      </c>
      <c r="C470" s="5" t="s">
        <v>48</v>
      </c>
      <c r="D470" s="8" t="s">
        <v>85</v>
      </c>
      <c r="E470" s="5">
        <v>8.0</v>
      </c>
      <c r="F470" s="5"/>
      <c r="G470" s="5"/>
      <c r="H470" s="5"/>
      <c r="I470" s="5"/>
      <c r="J470" s="5"/>
      <c r="K470" s="5"/>
      <c r="L470" s="5"/>
    </row>
    <row r="471" ht="15.75" customHeight="1">
      <c r="A471" s="5" t="s">
        <v>46</v>
      </c>
      <c r="C471" s="5" t="s">
        <v>21</v>
      </c>
      <c r="D471" s="5" t="s">
        <v>86</v>
      </c>
      <c r="E471" s="5">
        <v>2.0</v>
      </c>
      <c r="F471" s="7">
        <f>IFERROR(__xludf.DUMMYFUNCTION("""COMPUTED_VALUE"""),300.0)</f>
        <v>300</v>
      </c>
      <c r="G471" s="7">
        <f>IFERROR(__xludf.DUMMYFUNCTION("""COMPUTED_VALUE"""),100.0)</f>
        <v>100</v>
      </c>
      <c r="H471" s="7">
        <f>IFERROR(__xludf.DUMMYFUNCTION("""COMPUTED_VALUE"""),600.0)</f>
        <v>600</v>
      </c>
      <c r="I471" s="7">
        <f>IFERROR(__xludf.DUMMYFUNCTION("""COMPUTED_VALUE"""),200.0)</f>
        <v>200</v>
      </c>
      <c r="J471" s="7">
        <f>IFERROR(__xludf.DUMMYFUNCTION("""COMPUTED_VALUE"""),200.0)</f>
        <v>200</v>
      </c>
      <c r="K471" s="7">
        <f>IFERROR(__xludf.DUMMYFUNCTION("""COMPUTED_VALUE"""),300.0)</f>
        <v>300</v>
      </c>
      <c r="L471" s="7">
        <f>IFERROR(__xludf.DUMMYFUNCTION("""COMPUTED_VALUE"""),100.0)</f>
        <v>100</v>
      </c>
    </row>
    <row r="472" ht="15.75" customHeight="1">
      <c r="A472" s="5" t="s">
        <v>46</v>
      </c>
      <c r="C472" s="5" t="s">
        <v>21</v>
      </c>
      <c r="D472" s="5" t="s">
        <v>87</v>
      </c>
      <c r="E472" s="5">
        <v>2.0</v>
      </c>
      <c r="F472" s="7">
        <f>IFERROR(__xludf.DUMMYFUNCTION("""COMPUTED_VALUE"""),3000.0)</f>
        <v>3000</v>
      </c>
      <c r="G472" s="7">
        <f>IFERROR(__xludf.DUMMYFUNCTION("""COMPUTED_VALUE"""),3000.0)</f>
        <v>3000</v>
      </c>
      <c r="H472" s="7">
        <f>IFERROR(__xludf.DUMMYFUNCTION("""COMPUTED_VALUE"""),3000.0)</f>
        <v>3000</v>
      </c>
      <c r="I472" s="7">
        <f>IFERROR(__xludf.DUMMYFUNCTION("""COMPUTED_VALUE"""),3000.0)</f>
        <v>3000</v>
      </c>
      <c r="J472" s="7">
        <f>IFERROR(__xludf.DUMMYFUNCTION("""COMPUTED_VALUE"""),3000.0)</f>
        <v>3000</v>
      </c>
      <c r="K472" s="7">
        <f>IFERROR(__xludf.DUMMYFUNCTION("""COMPUTED_VALUE"""),3000.0)</f>
        <v>3000</v>
      </c>
      <c r="L472" s="7">
        <f>IFERROR(__xludf.DUMMYFUNCTION("""COMPUTED_VALUE"""),3000.0)</f>
        <v>3000</v>
      </c>
    </row>
    <row r="473" ht="15.75" customHeight="1">
      <c r="A473" s="5" t="s">
        <v>46</v>
      </c>
      <c r="C473" s="5" t="s">
        <v>21</v>
      </c>
      <c r="D473" s="5" t="s">
        <v>88</v>
      </c>
      <c r="E473" s="5">
        <v>2.0</v>
      </c>
      <c r="F473" s="7">
        <f>IFERROR(__xludf.DUMMYFUNCTION("""COMPUTED_VALUE"""),0.0)</f>
        <v>0</v>
      </c>
      <c r="G473" s="7">
        <f>IFERROR(__xludf.DUMMYFUNCTION("""COMPUTED_VALUE"""),0.0)</f>
        <v>0</v>
      </c>
      <c r="H473" s="7">
        <f>IFERROR(__xludf.DUMMYFUNCTION("""COMPUTED_VALUE"""),0.0)</f>
        <v>0</v>
      </c>
      <c r="I473" s="7">
        <f>IFERROR(__xludf.DUMMYFUNCTION("""COMPUTED_VALUE"""),0.0)</f>
        <v>0</v>
      </c>
      <c r="J473" s="7">
        <f>IFERROR(__xludf.DUMMYFUNCTION("""COMPUTED_VALUE"""),0.0)</f>
        <v>0</v>
      </c>
      <c r="K473" s="7">
        <f>IFERROR(__xludf.DUMMYFUNCTION("""COMPUTED_VALUE"""),0.0)</f>
        <v>0</v>
      </c>
      <c r="L473" s="7">
        <f>IFERROR(__xludf.DUMMYFUNCTION("""COMPUTED_VALUE"""),0.0)</f>
        <v>0</v>
      </c>
    </row>
    <row r="474" ht="15.75" customHeight="1">
      <c r="A474" s="5" t="s">
        <v>46</v>
      </c>
      <c r="C474" s="5" t="s">
        <v>21</v>
      </c>
      <c r="D474" s="5" t="s">
        <v>89</v>
      </c>
      <c r="E474" s="5">
        <v>1.2</v>
      </c>
      <c r="F474" s="7">
        <f>IFERROR(__xludf.DUMMYFUNCTION("""COMPUTED_VALUE"""),0.0)</f>
        <v>0</v>
      </c>
      <c r="G474" s="7">
        <f>IFERROR(__xludf.DUMMYFUNCTION("""COMPUTED_VALUE"""),0.0)</f>
        <v>0</v>
      </c>
      <c r="H474" s="7">
        <f>IFERROR(__xludf.DUMMYFUNCTION("""COMPUTED_VALUE"""),0.0)</f>
        <v>0</v>
      </c>
      <c r="I474" s="7">
        <f>IFERROR(__xludf.DUMMYFUNCTION("""COMPUTED_VALUE"""),0.0)</f>
        <v>0</v>
      </c>
      <c r="J474" s="7">
        <f>IFERROR(__xludf.DUMMYFUNCTION("""COMPUTED_VALUE"""),0.0)</f>
        <v>0</v>
      </c>
      <c r="K474" s="7">
        <f>IFERROR(__xludf.DUMMYFUNCTION("""COMPUTED_VALUE"""),0.0)</f>
        <v>0</v>
      </c>
      <c r="L474" s="7">
        <f>IFERROR(__xludf.DUMMYFUNCTION("""COMPUTED_VALUE"""),0.0)</f>
        <v>0</v>
      </c>
    </row>
    <row r="475" ht="15.75" customHeight="1">
      <c r="A475" s="5" t="s">
        <v>46</v>
      </c>
      <c r="C475" s="5" t="s">
        <v>21</v>
      </c>
      <c r="D475" s="5" t="s">
        <v>92</v>
      </c>
      <c r="E475" s="5">
        <v>0.8</v>
      </c>
      <c r="F475" s="7">
        <f>IFERROR(__xludf.DUMMYFUNCTION("""COMPUTED_VALUE"""),0.0)</f>
        <v>0</v>
      </c>
      <c r="G475" s="7">
        <f>IFERROR(__xludf.DUMMYFUNCTION("""COMPUTED_VALUE"""),0.0)</f>
        <v>0</v>
      </c>
      <c r="H475" s="7">
        <f>IFERROR(__xludf.DUMMYFUNCTION("""COMPUTED_VALUE"""),0.0)</f>
        <v>0</v>
      </c>
      <c r="I475" s="7">
        <f>IFERROR(__xludf.DUMMYFUNCTION("""COMPUTED_VALUE"""),0.0)</f>
        <v>0</v>
      </c>
      <c r="J475" s="7">
        <f>IFERROR(__xludf.DUMMYFUNCTION("""COMPUTED_VALUE"""),0.0)</f>
        <v>0</v>
      </c>
      <c r="K475" s="7">
        <f>IFERROR(__xludf.DUMMYFUNCTION("""COMPUTED_VALUE"""),0.0)</f>
        <v>0</v>
      </c>
      <c r="L475" s="7">
        <f>IFERROR(__xludf.DUMMYFUNCTION("""COMPUTED_VALUE"""),0.0)</f>
        <v>0</v>
      </c>
    </row>
    <row r="476" ht="15.75" customHeight="1">
      <c r="A476" s="5" t="s">
        <v>46</v>
      </c>
      <c r="B476" s="5">
        <v>7.0</v>
      </c>
      <c r="C476" s="5" t="s">
        <v>48</v>
      </c>
      <c r="D476" s="8" t="s">
        <v>94</v>
      </c>
      <c r="E476" s="5">
        <v>7.0</v>
      </c>
      <c r="F476" s="5"/>
      <c r="G476" s="5"/>
      <c r="H476" s="5"/>
      <c r="I476" s="5"/>
      <c r="J476" s="5"/>
      <c r="K476" s="5"/>
      <c r="L476" s="5"/>
    </row>
    <row r="477" ht="15.75" customHeight="1">
      <c r="A477" s="5" t="s">
        <v>46</v>
      </c>
      <c r="C477" s="5" t="s">
        <v>21</v>
      </c>
      <c r="D477" s="5" t="s">
        <v>95</v>
      </c>
      <c r="E477" s="5">
        <v>5.0</v>
      </c>
      <c r="F477" s="7">
        <f>IFERROR(__xludf.DUMMYFUNCTION("""COMPUTED_VALUE"""),21100.0)</f>
        <v>21100</v>
      </c>
      <c r="G477" s="7">
        <f>IFERROR(__xludf.DUMMYFUNCTION("""COMPUTED_VALUE"""),28500.0)</f>
        <v>28500</v>
      </c>
      <c r="H477" s="7">
        <f>IFERROR(__xludf.DUMMYFUNCTION("""COMPUTED_VALUE"""),57200.0)</f>
        <v>57200</v>
      </c>
      <c r="I477" s="7">
        <f>IFERROR(__xludf.DUMMYFUNCTION("""COMPUTED_VALUE"""),13100.0)</f>
        <v>13100</v>
      </c>
      <c r="J477" s="7">
        <f>IFERROR(__xludf.DUMMYFUNCTION("""COMPUTED_VALUE"""),30600.0)</f>
        <v>30600</v>
      </c>
      <c r="K477" s="7">
        <f>IFERROR(__xludf.DUMMYFUNCTION("""COMPUTED_VALUE"""),28300.0)</f>
        <v>28300</v>
      </c>
      <c r="L477" s="7">
        <f>IFERROR(__xludf.DUMMYFUNCTION("""COMPUTED_VALUE"""),19600.0)</f>
        <v>19600</v>
      </c>
    </row>
    <row r="478" ht="15.75" customHeight="1">
      <c r="A478" s="5" t="s">
        <v>46</v>
      </c>
      <c r="C478" s="5" t="s">
        <v>21</v>
      </c>
      <c r="D478" s="5" t="s">
        <v>96</v>
      </c>
      <c r="E478" s="5">
        <v>2.0</v>
      </c>
      <c r="F478" s="7">
        <f>IFERROR(__xludf.DUMMYFUNCTION("""COMPUTED_VALUE"""),700.0)</f>
        <v>700</v>
      </c>
      <c r="G478" s="7">
        <f>IFERROR(__xludf.DUMMYFUNCTION("""COMPUTED_VALUE"""),600.0)</f>
        <v>600</v>
      </c>
      <c r="H478" s="7">
        <f>IFERROR(__xludf.DUMMYFUNCTION("""COMPUTED_VALUE"""),900.0)</f>
        <v>900</v>
      </c>
      <c r="I478" s="7">
        <f>IFERROR(__xludf.DUMMYFUNCTION("""COMPUTED_VALUE"""),600.0)</f>
        <v>600</v>
      </c>
      <c r="J478" s="7">
        <f>IFERROR(__xludf.DUMMYFUNCTION("""COMPUTED_VALUE"""),600.0)</f>
        <v>600</v>
      </c>
      <c r="K478" s="7">
        <f>IFERROR(__xludf.DUMMYFUNCTION("""COMPUTED_VALUE"""),700.0)</f>
        <v>700</v>
      </c>
      <c r="L478" s="7">
        <f>IFERROR(__xludf.DUMMYFUNCTION("""COMPUTED_VALUE"""),700.0)</f>
        <v>700</v>
      </c>
    </row>
    <row r="479" ht="15.75" customHeight="1">
      <c r="A479" s="5" t="s">
        <v>46</v>
      </c>
      <c r="B479" s="5">
        <v>8.0</v>
      </c>
      <c r="C479" s="5" t="s">
        <v>48</v>
      </c>
      <c r="D479" s="8" t="s">
        <v>97</v>
      </c>
      <c r="E479" s="5">
        <v>8.0</v>
      </c>
      <c r="F479" s="5"/>
      <c r="G479" s="5"/>
      <c r="H479" s="5"/>
      <c r="I479" s="5"/>
      <c r="J479" s="5"/>
      <c r="K479" s="5"/>
      <c r="L479" s="5"/>
    </row>
    <row r="480" ht="15.75" customHeight="1">
      <c r="A480" s="5" t="s">
        <v>46</v>
      </c>
      <c r="C480" s="5" t="s">
        <v>21</v>
      </c>
      <c r="D480" s="5" t="s">
        <v>98</v>
      </c>
      <c r="E480" s="5">
        <v>6.0</v>
      </c>
      <c r="F480" s="7">
        <f>IFERROR(__xludf.DUMMYFUNCTION("""COMPUTED_VALUE"""),0.0)</f>
        <v>0</v>
      </c>
      <c r="G480" s="7">
        <f>IFERROR(__xludf.DUMMYFUNCTION("""COMPUTED_VALUE"""),0.0)</f>
        <v>0</v>
      </c>
      <c r="H480" s="7">
        <f>IFERROR(__xludf.DUMMYFUNCTION("""COMPUTED_VALUE"""),0.0)</f>
        <v>0</v>
      </c>
      <c r="I480" s="7">
        <f>IFERROR(__xludf.DUMMYFUNCTION("""COMPUTED_VALUE"""),0.0)</f>
        <v>0</v>
      </c>
      <c r="J480" s="7">
        <f>IFERROR(__xludf.DUMMYFUNCTION("""COMPUTED_VALUE"""),0.0)</f>
        <v>0</v>
      </c>
      <c r="K480" s="7">
        <f>IFERROR(__xludf.DUMMYFUNCTION("""COMPUTED_VALUE"""),0.0)</f>
        <v>0</v>
      </c>
      <c r="L480" s="7">
        <f>IFERROR(__xludf.DUMMYFUNCTION("""COMPUTED_VALUE"""),0.0)</f>
        <v>0</v>
      </c>
    </row>
    <row r="481" ht="15.75" customHeight="1">
      <c r="A481" s="5" t="s">
        <v>46</v>
      </c>
      <c r="C481" s="5" t="s">
        <v>21</v>
      </c>
      <c r="D481" s="5" t="s">
        <v>99</v>
      </c>
      <c r="E481" s="5">
        <v>2.0</v>
      </c>
      <c r="F481" s="7">
        <f>IFERROR(__xludf.DUMMYFUNCTION("""COMPUTED_VALUE"""),0.0)</f>
        <v>0</v>
      </c>
      <c r="G481" s="7">
        <f>IFERROR(__xludf.DUMMYFUNCTION("""COMPUTED_VALUE"""),0.0)</f>
        <v>0</v>
      </c>
      <c r="H481" s="7">
        <f>IFERROR(__xludf.DUMMYFUNCTION("""COMPUTED_VALUE"""),0.0)</f>
        <v>0</v>
      </c>
      <c r="I481" s="7">
        <f>IFERROR(__xludf.DUMMYFUNCTION("""COMPUTED_VALUE"""),0.0)</f>
        <v>0</v>
      </c>
      <c r="J481" s="7">
        <f>IFERROR(__xludf.DUMMYFUNCTION("""COMPUTED_VALUE"""),0.0)</f>
        <v>0</v>
      </c>
      <c r="K481" s="7">
        <f>IFERROR(__xludf.DUMMYFUNCTION("""COMPUTED_VALUE"""),0.0)</f>
        <v>0</v>
      </c>
      <c r="L481" s="7">
        <f>IFERROR(__xludf.DUMMYFUNCTION("""COMPUTED_VALUE"""),0.0)</f>
        <v>0</v>
      </c>
    </row>
    <row r="482" ht="15.75" customHeight="1">
      <c r="A482" s="5" t="s">
        <v>46</v>
      </c>
      <c r="B482" s="5">
        <v>9.0</v>
      </c>
      <c r="C482" s="5" t="s">
        <v>48</v>
      </c>
      <c r="D482" s="8" t="s">
        <v>101</v>
      </c>
      <c r="E482" s="5">
        <v>6.0</v>
      </c>
      <c r="F482" s="5"/>
      <c r="G482" s="5"/>
      <c r="H482" s="5"/>
      <c r="I482" s="5"/>
      <c r="J482" s="5"/>
      <c r="K482" s="5"/>
      <c r="L482" s="5"/>
    </row>
    <row r="483" ht="15.75" customHeight="1">
      <c r="A483" s="5" t="s">
        <v>46</v>
      </c>
      <c r="C483" s="5" t="s">
        <v>21</v>
      </c>
      <c r="D483" s="5" t="s">
        <v>102</v>
      </c>
      <c r="E483" s="5">
        <v>2.0</v>
      </c>
      <c r="F483" s="7">
        <f>IFERROR(__xludf.DUMMYFUNCTION("""COMPUTED_VALUE"""),713.6109825851012)</f>
        <v>713.6109826</v>
      </c>
      <c r="G483" s="7">
        <f>IFERROR(__xludf.DUMMYFUNCTION("""COMPUTED_VALUE"""),497.9715267883572)</f>
        <v>497.9715268</v>
      </c>
      <c r="H483" s="7">
        <f>IFERROR(__xludf.DUMMYFUNCTION("""COMPUTED_VALUE"""),743.9931739516527)</f>
        <v>743.993174</v>
      </c>
      <c r="I483" s="7">
        <f>IFERROR(__xludf.DUMMYFUNCTION("""COMPUTED_VALUE"""),406.08392363098176)</f>
        <v>406.0839236</v>
      </c>
      <c r="J483" s="7">
        <f>IFERROR(__xludf.DUMMYFUNCTION("""COMPUTED_VALUE"""),258.6191411445486)</f>
        <v>258.6191411</v>
      </c>
      <c r="K483" s="7">
        <f>IFERROR(__xludf.DUMMYFUNCTION("""COMPUTED_VALUE"""),224.53180448939315)</f>
        <v>224.5318045</v>
      </c>
      <c r="L483" s="7">
        <f>IFERROR(__xludf.DUMMYFUNCTION("""COMPUTED_VALUE"""),159.32124740996545)</f>
        <v>159.3212474</v>
      </c>
    </row>
    <row r="484" ht="15.75" customHeight="1">
      <c r="A484" s="5" t="s">
        <v>46</v>
      </c>
      <c r="C484" s="5" t="s">
        <v>21</v>
      </c>
      <c r="D484" s="5" t="s">
        <v>103</v>
      </c>
      <c r="E484" s="5">
        <v>2.0</v>
      </c>
      <c r="F484" s="7">
        <f>IFERROR(__xludf.DUMMYFUNCTION("""COMPUTED_VALUE"""),0.0)</f>
        <v>0</v>
      </c>
      <c r="G484" s="7">
        <f>IFERROR(__xludf.DUMMYFUNCTION("""COMPUTED_VALUE"""),0.0)</f>
        <v>0</v>
      </c>
      <c r="H484" s="7">
        <f>IFERROR(__xludf.DUMMYFUNCTION("""COMPUTED_VALUE"""),0.0)</f>
        <v>0</v>
      </c>
      <c r="I484" s="7">
        <f>IFERROR(__xludf.DUMMYFUNCTION("""COMPUTED_VALUE"""),0.0)</f>
        <v>0</v>
      </c>
      <c r="J484" s="7">
        <f>IFERROR(__xludf.DUMMYFUNCTION("""COMPUTED_VALUE"""),0.0)</f>
        <v>0</v>
      </c>
      <c r="K484" s="7">
        <f>IFERROR(__xludf.DUMMYFUNCTION("""COMPUTED_VALUE"""),0.0)</f>
        <v>0</v>
      </c>
      <c r="L484" s="7">
        <f>IFERROR(__xludf.DUMMYFUNCTION("""COMPUTED_VALUE"""),0.0)</f>
        <v>0</v>
      </c>
    </row>
    <row r="485" ht="15.75" customHeight="1">
      <c r="A485" s="5" t="s">
        <v>46</v>
      </c>
      <c r="C485" s="5" t="s">
        <v>21</v>
      </c>
      <c r="D485" s="5" t="s">
        <v>104</v>
      </c>
      <c r="E485" s="5">
        <v>2.0</v>
      </c>
      <c r="F485" s="7">
        <f>IFERROR(__xludf.DUMMYFUNCTION("""COMPUTED_VALUE"""),0.0)</f>
        <v>0</v>
      </c>
      <c r="G485" s="7">
        <f>IFERROR(__xludf.DUMMYFUNCTION("""COMPUTED_VALUE"""),0.0)</f>
        <v>0</v>
      </c>
      <c r="H485" s="7">
        <f>IFERROR(__xludf.DUMMYFUNCTION("""COMPUTED_VALUE"""),0.0)</f>
        <v>0</v>
      </c>
      <c r="I485" s="7">
        <f>IFERROR(__xludf.DUMMYFUNCTION("""COMPUTED_VALUE"""),0.0)</f>
        <v>0</v>
      </c>
      <c r="J485" s="7">
        <f>IFERROR(__xludf.DUMMYFUNCTION("""COMPUTED_VALUE"""),0.0)</f>
        <v>0</v>
      </c>
      <c r="K485" s="7">
        <f>IFERROR(__xludf.DUMMYFUNCTION("""COMPUTED_VALUE"""),0.0)</f>
        <v>0</v>
      </c>
      <c r="L485" s="7">
        <f>IFERROR(__xludf.DUMMYFUNCTION("""COMPUTED_VALUE"""),0.0)</f>
        <v>0</v>
      </c>
    </row>
    <row r="486" ht="15.75" customHeight="1">
      <c r="A486" s="5" t="s">
        <v>46</v>
      </c>
      <c r="B486" s="5">
        <v>10.0</v>
      </c>
      <c r="C486" s="5" t="s">
        <v>48</v>
      </c>
      <c r="D486" s="8" t="s">
        <v>107</v>
      </c>
      <c r="E486" s="5">
        <v>7.0</v>
      </c>
      <c r="F486" s="5"/>
      <c r="G486" s="5"/>
      <c r="H486" s="5"/>
      <c r="I486" s="5"/>
      <c r="J486" s="5"/>
      <c r="K486" s="5"/>
      <c r="L486" s="5"/>
    </row>
    <row r="487" ht="15.75" customHeight="1">
      <c r="A487" s="5" t="s">
        <v>46</v>
      </c>
      <c r="C487" s="5" t="s">
        <v>21</v>
      </c>
      <c r="D487" s="5" t="s">
        <v>108</v>
      </c>
      <c r="E487" s="5">
        <v>3.0</v>
      </c>
      <c r="F487" s="7">
        <f>IFERROR(__xludf.DUMMYFUNCTION("""COMPUTED_VALUE"""),56.01572697982373)</f>
        <v>56.01572698</v>
      </c>
      <c r="G487" s="7">
        <f>IFERROR(__xludf.DUMMYFUNCTION("""COMPUTED_VALUE"""),38.98738339381835)</f>
        <v>38.98738339</v>
      </c>
      <c r="H487" s="7">
        <f>IFERROR(__xludf.DUMMYFUNCTION("""COMPUTED_VALUE"""),74.13301184481246)</f>
        <v>74.13301184</v>
      </c>
      <c r="I487" s="7">
        <f>IFERROR(__xludf.DUMMYFUNCTION("""COMPUTED_VALUE"""),38.672796186530675)</f>
        <v>38.67279619</v>
      </c>
      <c r="J487" s="7">
        <f>IFERROR(__xludf.DUMMYFUNCTION("""COMPUTED_VALUE"""),75.95360402425115)</f>
        <v>75.95360402</v>
      </c>
      <c r="K487" s="7">
        <f>IFERROR(__xludf.DUMMYFUNCTION("""COMPUTED_VALUE"""),28.122455800144174)</f>
        <v>28.1224558</v>
      </c>
      <c r="L487" s="7">
        <f>IFERROR(__xludf.DUMMYFUNCTION("""COMPUTED_VALUE"""),66.63937419628046)</f>
        <v>66.6393742</v>
      </c>
    </row>
    <row r="488" ht="15.75" customHeight="1">
      <c r="A488" s="5" t="s">
        <v>46</v>
      </c>
      <c r="C488" s="5" t="s">
        <v>21</v>
      </c>
      <c r="D488" s="5" t="s">
        <v>109</v>
      </c>
      <c r="E488" s="5">
        <v>2.0</v>
      </c>
      <c r="F488" s="7">
        <f>IFERROR(__xludf.DUMMYFUNCTION("""COMPUTED_VALUE"""),69.3034238488784)</f>
        <v>69.30342385</v>
      </c>
      <c r="G488" s="7">
        <f>IFERROR(__xludf.DUMMYFUNCTION("""COMPUTED_VALUE"""),74.20758234928527)</f>
        <v>74.20758235</v>
      </c>
      <c r="H488" s="7">
        <f>IFERROR(__xludf.DUMMYFUNCTION("""COMPUTED_VALUE"""),108.46291866028707)</f>
        <v>108.4629187</v>
      </c>
      <c r="I488" s="7">
        <f>IFERROR(__xludf.DUMMYFUNCTION("""COMPUTED_VALUE"""),88.73114463176574)</f>
        <v>88.73114463</v>
      </c>
      <c r="J488" s="7">
        <f>IFERROR(__xludf.DUMMYFUNCTION("""COMPUTED_VALUE"""),80.12820512820514)</f>
        <v>80.12820513</v>
      </c>
      <c r="K488" s="7">
        <f>IFERROR(__xludf.DUMMYFUNCTION("""COMPUTED_VALUE"""),86.34076204169662)</f>
        <v>86.34076204</v>
      </c>
      <c r="L488" s="7">
        <f>IFERROR(__xludf.DUMMYFUNCTION("""COMPUTED_VALUE"""),73.78318584070797)</f>
        <v>73.78318584</v>
      </c>
    </row>
    <row r="489" ht="15.75" customHeight="1">
      <c r="A489" s="5" t="s">
        <v>46</v>
      </c>
      <c r="C489" s="5" t="s">
        <v>21</v>
      </c>
      <c r="D489" s="5" t="s">
        <v>110</v>
      </c>
      <c r="E489" s="5">
        <v>2.0</v>
      </c>
      <c r="F489" s="7">
        <f>IFERROR(__xludf.DUMMYFUNCTION("""COMPUTED_VALUE"""),100.0)</f>
        <v>100</v>
      </c>
      <c r="G489" s="7">
        <f>IFERROR(__xludf.DUMMYFUNCTION("""COMPUTED_VALUE"""),100.0)</f>
        <v>100</v>
      </c>
      <c r="H489" s="7">
        <f>IFERROR(__xludf.DUMMYFUNCTION("""COMPUTED_VALUE"""),100.0)</f>
        <v>100</v>
      </c>
      <c r="I489" s="7">
        <f>IFERROR(__xludf.DUMMYFUNCTION("""COMPUTED_VALUE"""),100.0)</f>
        <v>100</v>
      </c>
      <c r="J489" s="7">
        <f>IFERROR(__xludf.DUMMYFUNCTION("""COMPUTED_VALUE"""),100.0)</f>
        <v>100</v>
      </c>
      <c r="K489" s="7">
        <f>IFERROR(__xludf.DUMMYFUNCTION("""COMPUTED_VALUE"""),100.0)</f>
        <v>100</v>
      </c>
      <c r="L489" s="7">
        <f>IFERROR(__xludf.DUMMYFUNCTION("""COMPUTED_VALUE"""),100.0)</f>
        <v>100</v>
      </c>
    </row>
    <row r="490" ht="15.75" customHeight="1">
      <c r="A490" s="5" t="s">
        <v>46</v>
      </c>
      <c r="B490" s="15">
        <v>11.0</v>
      </c>
      <c r="C490" s="5" t="s">
        <v>48</v>
      </c>
      <c r="D490" s="8" t="s">
        <v>111</v>
      </c>
      <c r="E490" s="15">
        <v>4.0</v>
      </c>
      <c r="F490" s="5"/>
      <c r="G490" s="5"/>
      <c r="H490" s="5"/>
      <c r="I490" s="5"/>
      <c r="J490" s="5"/>
      <c r="K490" s="5"/>
      <c r="L490" s="5"/>
    </row>
    <row r="491" ht="15.75" customHeight="1">
      <c r="A491" s="5" t="s">
        <v>46</v>
      </c>
      <c r="C491" s="5" t="b">
        <v>0</v>
      </c>
      <c r="D491" s="15" t="s">
        <v>112</v>
      </c>
      <c r="E491" s="15">
        <v>2.0</v>
      </c>
      <c r="F491" s="7">
        <f>IFERROR(__xludf.DUMMYFUNCTION("""COMPUTED_VALUE"""),0.0)</f>
        <v>0</v>
      </c>
      <c r="G491" s="7">
        <f>IFERROR(__xludf.DUMMYFUNCTION("""COMPUTED_VALUE"""),0.0)</f>
        <v>0</v>
      </c>
      <c r="H491" s="7">
        <f>IFERROR(__xludf.DUMMYFUNCTION("""COMPUTED_VALUE"""),0.0)</f>
        <v>0</v>
      </c>
      <c r="I491" s="7">
        <f>IFERROR(__xludf.DUMMYFUNCTION("""COMPUTED_VALUE"""),0.0)</f>
        <v>0</v>
      </c>
      <c r="J491" s="7">
        <f>IFERROR(__xludf.DUMMYFUNCTION("""COMPUTED_VALUE"""),0.0)</f>
        <v>0</v>
      </c>
      <c r="K491" s="7">
        <f>IFERROR(__xludf.DUMMYFUNCTION("""COMPUTED_VALUE"""),0.0)</f>
        <v>0</v>
      </c>
      <c r="L491" s="7">
        <f>IFERROR(__xludf.DUMMYFUNCTION("""COMPUTED_VALUE"""),0.0)</f>
        <v>0</v>
      </c>
    </row>
    <row r="492" ht="15.75" customHeight="1">
      <c r="A492" s="5" t="s">
        <v>46</v>
      </c>
      <c r="C492" s="5" t="s">
        <v>21</v>
      </c>
      <c r="D492" s="15" t="s">
        <v>113</v>
      </c>
      <c r="E492" s="15">
        <v>2.0</v>
      </c>
      <c r="F492" s="7">
        <f>IFERROR(__xludf.DUMMYFUNCTION("""COMPUTED_VALUE"""),100.0)</f>
        <v>100</v>
      </c>
      <c r="G492" s="7">
        <f>IFERROR(__xludf.DUMMYFUNCTION("""COMPUTED_VALUE"""),100.0)</f>
        <v>100</v>
      </c>
      <c r="H492" s="7">
        <f>IFERROR(__xludf.DUMMYFUNCTION("""COMPUTED_VALUE"""),100.0)</f>
        <v>100</v>
      </c>
      <c r="I492" s="7">
        <f>IFERROR(__xludf.DUMMYFUNCTION("""COMPUTED_VALUE"""),100.0)</f>
        <v>100</v>
      </c>
      <c r="J492" s="7">
        <f>IFERROR(__xludf.DUMMYFUNCTION("""COMPUTED_VALUE"""),100.0)</f>
        <v>100</v>
      </c>
      <c r="K492" s="7">
        <f>IFERROR(__xludf.DUMMYFUNCTION("""COMPUTED_VALUE"""),100.0)</f>
        <v>100</v>
      </c>
      <c r="L492" s="7">
        <f>IFERROR(__xludf.DUMMYFUNCTION("""COMPUTED_VALUE"""),100.0)</f>
        <v>100</v>
      </c>
    </row>
    <row r="493" ht="15.75" customHeight="1">
      <c r="A493" s="5" t="s">
        <v>46</v>
      </c>
      <c r="B493" s="15">
        <v>12.0</v>
      </c>
      <c r="C493" s="5" t="s">
        <v>48</v>
      </c>
      <c r="D493" s="8" t="s">
        <v>117</v>
      </c>
    </row>
    <row r="494" ht="15.75" customHeight="1">
      <c r="A494" s="5" t="s">
        <v>46</v>
      </c>
      <c r="C494" s="5" t="s">
        <v>21</v>
      </c>
      <c r="D494" s="15" t="s">
        <v>118</v>
      </c>
    </row>
    <row r="495" ht="15.75" customHeight="1">
      <c r="A495" s="5" t="s">
        <v>46</v>
      </c>
      <c r="C495" s="5" t="s">
        <v>21</v>
      </c>
      <c r="D495" s="15" t="s">
        <v>119</v>
      </c>
    </row>
    <row r="496" ht="15.75" customHeight="1">
      <c r="A496" s="5" t="s">
        <v>46</v>
      </c>
      <c r="C496" s="5" t="s">
        <v>21</v>
      </c>
      <c r="D496" s="15" t="s">
        <v>120</v>
      </c>
    </row>
    <row r="497" ht="15.75" customHeight="1">
      <c r="A497" s="5" t="s">
        <v>47</v>
      </c>
      <c r="B497" s="5">
        <v>1.0</v>
      </c>
      <c r="C497" s="5" t="s">
        <v>21</v>
      </c>
      <c r="D497" s="5" t="s">
        <v>23</v>
      </c>
      <c r="E497" s="5">
        <v>14.0</v>
      </c>
      <c r="F497" s="7">
        <f>IFERROR(__xludf.DUMMYFUNCTION("IMPORTRANGE(""1e7--NjE9N54w7uxIeTVQ2x149gW2CjGTf8gPedLtEqw"",""MDK!CC5:CC45"")"),60.0)</f>
        <v>60</v>
      </c>
      <c r="G497" s="7">
        <f>IFERROR(__xludf.DUMMYFUNCTION("IMPORTRANGE(""1e7--NjE9N54w7uxIeTVQ2x149gW2CjGTf8gPedLtEqw"",""MGT!CC5:CC45"")"),60.0)</f>
        <v>60</v>
      </c>
      <c r="H497" s="7">
        <f>IFERROR(__xludf.DUMMYFUNCTION("IMPORTRANGE(""1e7--NjE9N54w7uxIeTVQ2x149gW2CjGTf8gPedLtEqw"",""NGW!CC5:CC45"")"),60.0)</f>
        <v>60</v>
      </c>
      <c r="I497" s="7">
        <f>IFERROR(__xludf.DUMMYFUNCTION("IMPORTRANGE(""1e7--NjE9N54w7uxIeTVQ2x149gW2CjGTf8gPedLtEqw"",""MPT!CC5:CC45"")"),60.0)</f>
        <v>60</v>
      </c>
      <c r="J497" s="7">
        <f>IFERROR(__xludf.DUMMYFUNCTION("IMPORTRANGE(""1e7--NjE9N54w7uxIeTVQ2x149gW2CjGTf8gPedLtEqw"",""CRB!CC5:CC45"")"),60.0)</f>
        <v>60</v>
      </c>
      <c r="K497" s="7">
        <f>IFERROR(__xludf.DUMMYFUNCTION("IMPORTRANGE(""1e7--NjE9N54w7uxIeTVQ2x149gW2CjGTf8gPedLtEqw"",""DLP!CC5:CC45"")"),60.0)</f>
        <v>60</v>
      </c>
      <c r="L497" s="7">
        <f>IFERROR(__xludf.DUMMYFUNCTION("IMPORTRANGE(""1e7--NjE9N54w7uxIeTVQ2x149gW2CjGTf8gPedLtEqw"",""MTN!CC5:CC45"")"),60.0)</f>
        <v>60</v>
      </c>
    </row>
    <row r="498" ht="15.75" customHeight="1">
      <c r="A498" s="5" t="s">
        <v>47</v>
      </c>
      <c r="B498" s="5">
        <v>2.0</v>
      </c>
      <c r="C498" s="5" t="s">
        <v>21</v>
      </c>
      <c r="D498" s="5" t="s">
        <v>40</v>
      </c>
      <c r="E498" s="5">
        <v>12.0</v>
      </c>
      <c r="F498" s="7">
        <f>IFERROR(__xludf.DUMMYFUNCTION("""COMPUTED_VALUE"""),567.336268377515)</f>
        <v>567.3362684</v>
      </c>
      <c r="G498" s="7">
        <f>IFERROR(__xludf.DUMMYFUNCTION("""COMPUTED_VALUE"""),838.253943240516)</f>
        <v>838.2539432</v>
      </c>
      <c r="H498" s="7">
        <f>IFERROR(__xludf.DUMMYFUNCTION("""COMPUTED_VALUE"""),875.6856337625541)</f>
        <v>875.6856338</v>
      </c>
      <c r="I498" s="7">
        <f>IFERROR(__xludf.DUMMYFUNCTION("""COMPUTED_VALUE"""),573.334161174771)</f>
        <v>573.3341612</v>
      </c>
      <c r="J498" s="7">
        <f>IFERROR(__xludf.DUMMYFUNCTION("""COMPUTED_VALUE"""),587.172176564525)</f>
        <v>587.1721766</v>
      </c>
      <c r="K498" s="7">
        <f>IFERROR(__xludf.DUMMYFUNCTION("""COMPUTED_VALUE"""),647.206983051668)</f>
        <v>647.2069831</v>
      </c>
      <c r="L498" s="7">
        <f>IFERROR(__xludf.DUMMYFUNCTION("""COMPUTED_VALUE"""),1219.28236545399)</f>
        <v>1219.282365</v>
      </c>
    </row>
    <row r="499" ht="15.75" customHeight="1">
      <c r="A499" s="5" t="s">
        <v>47</v>
      </c>
      <c r="B499" s="5">
        <v>3.0</v>
      </c>
      <c r="C499" s="5" t="s">
        <v>48</v>
      </c>
      <c r="D499" s="8" t="s">
        <v>49</v>
      </c>
      <c r="E499" s="5">
        <v>14.0</v>
      </c>
      <c r="F499" s="5"/>
      <c r="G499" s="5"/>
      <c r="H499" s="5"/>
      <c r="I499" s="5"/>
      <c r="J499" s="5"/>
      <c r="K499" s="5"/>
      <c r="L499" s="5"/>
    </row>
    <row r="500" ht="15.75" customHeight="1">
      <c r="A500" s="5" t="s">
        <v>47</v>
      </c>
      <c r="C500" s="5" t="s">
        <v>21</v>
      </c>
      <c r="D500" s="5" t="s">
        <v>51</v>
      </c>
      <c r="E500" s="5">
        <v>6.0</v>
      </c>
      <c r="F500" s="7">
        <f>IFERROR(__xludf.DUMMYFUNCTION("""COMPUTED_VALUE"""),3524.160944714351)</f>
        <v>3524.160945</v>
      </c>
      <c r="G500" s="7">
        <f>IFERROR(__xludf.DUMMYFUNCTION("""COMPUTED_VALUE"""),3955.4686643204936)</f>
        <v>3955.468664</v>
      </c>
      <c r="H500" s="7">
        <f>IFERROR(__xludf.DUMMYFUNCTION("""COMPUTED_VALUE"""),6056.391059597118)</f>
        <v>6056.39106</v>
      </c>
      <c r="I500" s="7">
        <f>IFERROR(__xludf.DUMMYFUNCTION("""COMPUTED_VALUE"""),2758.7276758047046)</f>
        <v>2758.727676</v>
      </c>
      <c r="J500" s="7">
        <f>IFERROR(__xludf.DUMMYFUNCTION("""COMPUTED_VALUE"""),8111.469879595937)</f>
        <v>8111.46988</v>
      </c>
      <c r="K500" s="7">
        <f>IFERROR(__xludf.DUMMYFUNCTION("""COMPUTED_VALUE"""),8649.575675261643)</f>
        <v>8649.575675</v>
      </c>
      <c r="L500" s="7">
        <f>IFERROR(__xludf.DUMMYFUNCTION("""COMPUTED_VALUE"""),1504.5823509948648)</f>
        <v>1504.582351</v>
      </c>
    </row>
    <row r="501" ht="15.75" customHeight="1">
      <c r="A501" s="5" t="s">
        <v>47</v>
      </c>
      <c r="C501" s="5" t="s">
        <v>21</v>
      </c>
      <c r="D501" s="5" t="s">
        <v>53</v>
      </c>
      <c r="E501" s="5">
        <v>6.0</v>
      </c>
      <c r="F501" s="7">
        <f>IFERROR(__xludf.DUMMYFUNCTION("""COMPUTED_VALUE"""),50.01251668891856)</f>
        <v>50.01251669</v>
      </c>
      <c r="G501" s="7">
        <f>IFERROR(__xludf.DUMMYFUNCTION("""COMPUTED_VALUE"""),115.98159105851413)</f>
        <v>115.9815911</v>
      </c>
      <c r="H501" s="7">
        <f>IFERROR(__xludf.DUMMYFUNCTION("""COMPUTED_VALUE"""),104.72536803048924)</f>
        <v>104.725368</v>
      </c>
      <c r="I501" s="7">
        <f>IFERROR(__xludf.DUMMYFUNCTION("""COMPUTED_VALUE"""),58.04855562384758)</f>
        <v>58.04855562</v>
      </c>
      <c r="J501" s="7">
        <f>IFERROR(__xludf.DUMMYFUNCTION("""COMPUTED_VALUE"""),112.05481769731833)</f>
        <v>112.0548177</v>
      </c>
      <c r="K501" s="7">
        <f>IFERROR(__xludf.DUMMYFUNCTION("""COMPUTED_VALUE"""),121.01922530859042)</f>
        <v>121.0192253</v>
      </c>
      <c r="L501" s="7">
        <f>IFERROR(__xludf.DUMMYFUNCTION("""COMPUTED_VALUE"""),30.691522141033538)</f>
        <v>30.69152214</v>
      </c>
    </row>
    <row r="502" ht="15.75" customHeight="1">
      <c r="A502" s="5" t="s">
        <v>47</v>
      </c>
      <c r="C502" s="5" t="s">
        <v>21</v>
      </c>
      <c r="D502" s="5" t="s">
        <v>55</v>
      </c>
      <c r="E502" s="5">
        <v>2.0</v>
      </c>
      <c r="F502" s="7">
        <f>IFERROR(__xludf.DUMMYFUNCTION("""COMPUTED_VALUE"""),1815.3178397788172)</f>
        <v>1815.31784</v>
      </c>
      <c r="G502" s="7">
        <f>IFERROR(__xludf.DUMMYFUNCTION("""COMPUTED_VALUE"""),1651.9786608970744)</f>
        <v>1651.978661</v>
      </c>
      <c r="H502" s="7">
        <f>IFERROR(__xludf.DUMMYFUNCTION("""COMPUTED_VALUE"""),5206.01389794465)</f>
        <v>5206.013898</v>
      </c>
      <c r="I502" s="7">
        <f>IFERROR(__xludf.DUMMYFUNCTION("""COMPUTED_VALUE"""),743.4748831858637)</f>
        <v>743.4748832</v>
      </c>
      <c r="J502" s="7">
        <f>IFERROR(__xludf.DUMMYFUNCTION("""COMPUTED_VALUE"""),2405.0285993966954)</f>
        <v>2405.028599</v>
      </c>
      <c r="K502" s="7">
        <f>IFERROR(__xludf.DUMMYFUNCTION("""COMPUTED_VALUE"""),2852.8032449518173)</f>
        <v>2852.803245</v>
      </c>
      <c r="L502" s="7">
        <f>IFERROR(__xludf.DUMMYFUNCTION("""COMPUTED_VALUE"""),432.56720476268436)</f>
        <v>432.5672048</v>
      </c>
    </row>
    <row r="503" ht="15.75" customHeight="1">
      <c r="A503" s="5" t="s">
        <v>47</v>
      </c>
      <c r="B503" s="5">
        <v>4.0</v>
      </c>
      <c r="C503" s="5" t="s">
        <v>48</v>
      </c>
      <c r="D503" s="8" t="s">
        <v>62</v>
      </c>
      <c r="E503" s="5">
        <v>10.0</v>
      </c>
      <c r="F503" s="5"/>
      <c r="G503" s="5"/>
      <c r="H503" s="5"/>
      <c r="I503" s="5"/>
      <c r="J503" s="5"/>
      <c r="K503" s="5"/>
      <c r="L503" s="5"/>
    </row>
    <row r="504" ht="15.75" customHeight="1">
      <c r="A504" s="5" t="s">
        <v>47</v>
      </c>
      <c r="C504" s="5" t="s">
        <v>21</v>
      </c>
      <c r="D504" s="5" t="s">
        <v>64</v>
      </c>
      <c r="E504" s="5">
        <v>5.0</v>
      </c>
      <c r="F504" s="7">
        <f>IFERROR(__xludf.DUMMYFUNCTION("""COMPUTED_VALUE"""),0.0)</f>
        <v>0</v>
      </c>
      <c r="G504" s="7">
        <f>IFERROR(__xludf.DUMMYFUNCTION("""COMPUTED_VALUE"""),0.0)</f>
        <v>0</v>
      </c>
      <c r="H504" s="7">
        <f>IFERROR(__xludf.DUMMYFUNCTION("""COMPUTED_VALUE"""),0.0)</f>
        <v>0</v>
      </c>
      <c r="I504" s="7">
        <f>IFERROR(__xludf.DUMMYFUNCTION("""COMPUTED_VALUE"""),0.0)</f>
        <v>0</v>
      </c>
      <c r="J504" s="7">
        <f>IFERROR(__xludf.DUMMYFUNCTION("""COMPUTED_VALUE"""),0.0)</f>
        <v>0</v>
      </c>
      <c r="K504" s="7">
        <f>IFERROR(__xludf.DUMMYFUNCTION("""COMPUTED_VALUE"""),0.0)</f>
        <v>0</v>
      </c>
      <c r="L504" s="7">
        <f>IFERROR(__xludf.DUMMYFUNCTION("""COMPUTED_VALUE"""),0.0)</f>
        <v>0</v>
      </c>
    </row>
    <row r="505" ht="15.75" customHeight="1">
      <c r="A505" s="5" t="s">
        <v>47</v>
      </c>
      <c r="C505" s="5" t="s">
        <v>21</v>
      </c>
      <c r="D505" s="5" t="s">
        <v>70</v>
      </c>
      <c r="F505" s="7">
        <f>IFERROR(__xludf.DUMMYFUNCTION("""COMPUTED_VALUE"""),0.0)</f>
        <v>0</v>
      </c>
      <c r="G505" s="7">
        <f>IFERROR(__xludf.DUMMYFUNCTION("""COMPUTED_VALUE"""),0.0)</f>
        <v>0</v>
      </c>
      <c r="H505" s="7">
        <f>IFERROR(__xludf.DUMMYFUNCTION("""COMPUTED_VALUE"""),0.0)</f>
        <v>0</v>
      </c>
      <c r="I505" s="7">
        <f>IFERROR(__xludf.DUMMYFUNCTION("""COMPUTED_VALUE"""),0.0)</f>
        <v>0</v>
      </c>
      <c r="J505" s="7">
        <f>IFERROR(__xludf.DUMMYFUNCTION("""COMPUTED_VALUE"""),0.0)</f>
        <v>0</v>
      </c>
      <c r="K505" s="7">
        <f>IFERROR(__xludf.DUMMYFUNCTION("""COMPUTED_VALUE"""),0.0)</f>
        <v>0</v>
      </c>
      <c r="L505" s="7">
        <f>IFERROR(__xludf.DUMMYFUNCTION("""COMPUTED_VALUE"""),0.0)</f>
        <v>0</v>
      </c>
    </row>
    <row r="506" ht="15.75" customHeight="1">
      <c r="A506" s="5" t="s">
        <v>47</v>
      </c>
      <c r="C506" s="5" t="s">
        <v>21</v>
      </c>
      <c r="D506" s="5" t="s">
        <v>73</v>
      </c>
      <c r="F506" s="7">
        <f>IFERROR(__xludf.DUMMYFUNCTION("""COMPUTED_VALUE"""),0.0)</f>
        <v>0</v>
      </c>
      <c r="G506" s="7">
        <f>IFERROR(__xludf.DUMMYFUNCTION("""COMPUTED_VALUE"""),0.0)</f>
        <v>0</v>
      </c>
      <c r="H506" s="7">
        <f>IFERROR(__xludf.DUMMYFUNCTION("""COMPUTED_VALUE"""),0.0)</f>
        <v>0</v>
      </c>
      <c r="I506" s="7">
        <f>IFERROR(__xludf.DUMMYFUNCTION("""COMPUTED_VALUE"""),0.0)</f>
        <v>0</v>
      </c>
      <c r="J506" s="7">
        <f>IFERROR(__xludf.DUMMYFUNCTION("""COMPUTED_VALUE"""),0.0)</f>
        <v>0</v>
      </c>
      <c r="K506" s="7">
        <f>IFERROR(__xludf.DUMMYFUNCTION("""COMPUTED_VALUE"""),0.0)</f>
        <v>0</v>
      </c>
      <c r="L506" s="7">
        <f>IFERROR(__xludf.DUMMYFUNCTION("""COMPUTED_VALUE"""),0.0)</f>
        <v>0</v>
      </c>
    </row>
    <row r="507" ht="15.75" customHeight="1">
      <c r="A507" s="5" t="s">
        <v>47</v>
      </c>
      <c r="C507" s="5" t="s">
        <v>21</v>
      </c>
      <c r="D507" s="5" t="s">
        <v>74</v>
      </c>
      <c r="F507" s="7">
        <f>IFERROR(__xludf.DUMMYFUNCTION("""COMPUTED_VALUE"""),0.0)</f>
        <v>0</v>
      </c>
      <c r="G507" s="7">
        <f>IFERROR(__xludf.DUMMYFUNCTION("""COMPUTED_VALUE"""),0.0)</f>
        <v>0</v>
      </c>
      <c r="H507" s="7">
        <f>IFERROR(__xludf.DUMMYFUNCTION("""COMPUTED_VALUE"""),0.0)</f>
        <v>0</v>
      </c>
      <c r="I507" s="7">
        <f>IFERROR(__xludf.DUMMYFUNCTION("""COMPUTED_VALUE"""),0.0)</f>
        <v>0</v>
      </c>
      <c r="J507" s="7">
        <f>IFERROR(__xludf.DUMMYFUNCTION("""COMPUTED_VALUE"""),0.0)</f>
        <v>0</v>
      </c>
      <c r="K507" s="7">
        <f>IFERROR(__xludf.DUMMYFUNCTION("""COMPUTED_VALUE"""),0.0)</f>
        <v>0</v>
      </c>
      <c r="L507" s="7">
        <f>IFERROR(__xludf.DUMMYFUNCTION("""COMPUTED_VALUE"""),0.0)</f>
        <v>0</v>
      </c>
    </row>
    <row r="508" ht="15.75" customHeight="1">
      <c r="A508" s="5" t="s">
        <v>47</v>
      </c>
      <c r="C508" s="5" t="s">
        <v>21</v>
      </c>
      <c r="D508" s="5" t="s">
        <v>75</v>
      </c>
      <c r="E508" s="5">
        <v>5.0</v>
      </c>
      <c r="F508" s="7">
        <f>IFERROR(__xludf.DUMMYFUNCTION("""COMPUTED_VALUE"""),100.0)</f>
        <v>100</v>
      </c>
      <c r="G508" s="7">
        <f>IFERROR(__xludf.DUMMYFUNCTION("""COMPUTED_VALUE"""),100.0)</f>
        <v>100</v>
      </c>
      <c r="H508" s="7">
        <f>IFERROR(__xludf.DUMMYFUNCTION("""COMPUTED_VALUE"""),100.0)</f>
        <v>100</v>
      </c>
      <c r="I508" s="7">
        <f>IFERROR(__xludf.DUMMYFUNCTION("""COMPUTED_VALUE"""),100.0)</f>
        <v>100</v>
      </c>
      <c r="J508" s="7">
        <f>IFERROR(__xludf.DUMMYFUNCTION("""COMPUTED_VALUE"""),100.0)</f>
        <v>100</v>
      </c>
      <c r="K508" s="7">
        <f>IFERROR(__xludf.DUMMYFUNCTION("""COMPUTED_VALUE"""),100.0)</f>
        <v>100</v>
      </c>
      <c r="L508" s="7">
        <f>IFERROR(__xludf.DUMMYFUNCTION("""COMPUTED_VALUE"""),100.0)</f>
        <v>100</v>
      </c>
    </row>
    <row r="509" ht="15.75" customHeight="1">
      <c r="A509" s="5" t="s">
        <v>47</v>
      </c>
      <c r="B509" s="5">
        <v>5.0</v>
      </c>
      <c r="C509" s="5" t="s">
        <v>48</v>
      </c>
      <c r="D509" s="8" t="s">
        <v>76</v>
      </c>
      <c r="E509" s="5">
        <v>10.0</v>
      </c>
      <c r="F509" s="5"/>
      <c r="G509" s="5"/>
      <c r="H509" s="5"/>
      <c r="I509" s="5"/>
      <c r="J509" s="5"/>
      <c r="K509" s="5"/>
      <c r="L509" s="5"/>
    </row>
    <row r="510" ht="15.75" customHeight="1">
      <c r="A510" s="5" t="s">
        <v>47</v>
      </c>
      <c r="C510" s="5" t="s">
        <v>21</v>
      </c>
      <c r="D510" s="5" t="s">
        <v>79</v>
      </c>
      <c r="E510" s="5">
        <v>0.5</v>
      </c>
      <c r="F510" s="7">
        <f>IFERROR(__xludf.DUMMYFUNCTION("""COMPUTED_VALUE"""),0.0)</f>
        <v>0</v>
      </c>
      <c r="G510" s="7">
        <f>IFERROR(__xludf.DUMMYFUNCTION("""COMPUTED_VALUE"""),0.0)</f>
        <v>0</v>
      </c>
      <c r="H510" s="7">
        <f>IFERROR(__xludf.DUMMYFUNCTION("""COMPUTED_VALUE"""),0.0)</f>
        <v>0</v>
      </c>
      <c r="I510" s="7">
        <f>IFERROR(__xludf.DUMMYFUNCTION("""COMPUTED_VALUE"""),0.0)</f>
        <v>0</v>
      </c>
      <c r="J510" s="7">
        <f>IFERROR(__xludf.DUMMYFUNCTION("""COMPUTED_VALUE"""),0.0)</f>
        <v>0</v>
      </c>
      <c r="K510" s="7">
        <f>IFERROR(__xludf.DUMMYFUNCTION("""COMPUTED_VALUE"""),0.0)</f>
        <v>0</v>
      </c>
      <c r="L510" s="7">
        <f>IFERROR(__xludf.DUMMYFUNCTION("""COMPUTED_VALUE"""),0.0)</f>
        <v>0</v>
      </c>
    </row>
    <row r="511" ht="15.75" customHeight="1">
      <c r="A511" s="5" t="s">
        <v>47</v>
      </c>
      <c r="C511" s="5" t="s">
        <v>21</v>
      </c>
      <c r="D511" s="5" t="s">
        <v>81</v>
      </c>
      <c r="E511" s="5">
        <v>1.5</v>
      </c>
      <c r="F511" s="7">
        <f>IFERROR(__xludf.DUMMYFUNCTION("""COMPUTED_VALUE"""),0.0)</f>
        <v>0</v>
      </c>
      <c r="G511" s="7">
        <f>IFERROR(__xludf.DUMMYFUNCTION("""COMPUTED_VALUE"""),0.0)</f>
        <v>0</v>
      </c>
      <c r="H511" s="7">
        <f>IFERROR(__xludf.DUMMYFUNCTION("""COMPUTED_VALUE"""),0.0)</f>
        <v>0</v>
      </c>
      <c r="I511" s="7">
        <f>IFERROR(__xludf.DUMMYFUNCTION("""COMPUTED_VALUE"""),0.0)</f>
        <v>0</v>
      </c>
      <c r="J511" s="7">
        <f>IFERROR(__xludf.DUMMYFUNCTION("""COMPUTED_VALUE"""),0.0)</f>
        <v>0</v>
      </c>
      <c r="K511" s="7">
        <f>IFERROR(__xludf.DUMMYFUNCTION("""COMPUTED_VALUE"""),0.0)</f>
        <v>0</v>
      </c>
      <c r="L511" s="7">
        <f>IFERROR(__xludf.DUMMYFUNCTION("""COMPUTED_VALUE"""),0.0)</f>
        <v>0</v>
      </c>
    </row>
    <row r="512" ht="15.75" customHeight="1">
      <c r="A512" s="5" t="s">
        <v>47</v>
      </c>
      <c r="C512" s="5" t="s">
        <v>21</v>
      </c>
      <c r="D512" s="5" t="s">
        <v>82</v>
      </c>
      <c r="E512" s="5">
        <v>2.0</v>
      </c>
      <c r="F512" s="7">
        <f>IFERROR(__xludf.DUMMYFUNCTION("""COMPUTED_VALUE"""),0.0)</f>
        <v>0</v>
      </c>
      <c r="G512" s="7">
        <f>IFERROR(__xludf.DUMMYFUNCTION("""COMPUTED_VALUE"""),0.0)</f>
        <v>0</v>
      </c>
      <c r="H512" s="7">
        <f>IFERROR(__xludf.DUMMYFUNCTION("""COMPUTED_VALUE"""),0.0)</f>
        <v>0</v>
      </c>
      <c r="I512" s="7">
        <f>IFERROR(__xludf.DUMMYFUNCTION("""COMPUTED_VALUE"""),0.0)</f>
        <v>0</v>
      </c>
      <c r="J512" s="7">
        <f>IFERROR(__xludf.DUMMYFUNCTION("""COMPUTED_VALUE"""),0.0)</f>
        <v>0</v>
      </c>
      <c r="K512" s="7">
        <f>IFERROR(__xludf.DUMMYFUNCTION("""COMPUTED_VALUE"""),0.0)</f>
        <v>0</v>
      </c>
      <c r="L512" s="7">
        <f>IFERROR(__xludf.DUMMYFUNCTION("""COMPUTED_VALUE"""),0.0)</f>
        <v>0</v>
      </c>
    </row>
    <row r="513" ht="15.75" customHeight="1">
      <c r="A513" s="5" t="s">
        <v>47</v>
      </c>
      <c r="C513" s="5" t="s">
        <v>21</v>
      </c>
      <c r="D513" s="5" t="s">
        <v>83</v>
      </c>
      <c r="E513" s="5">
        <v>4.0</v>
      </c>
      <c r="F513" s="7">
        <f>IFERROR(__xludf.DUMMYFUNCTION("""COMPUTED_VALUE"""),100.0)</f>
        <v>100</v>
      </c>
      <c r="G513" s="7">
        <f>IFERROR(__xludf.DUMMYFUNCTION("""COMPUTED_VALUE"""),0.0)</f>
        <v>0</v>
      </c>
      <c r="H513" s="7">
        <f>IFERROR(__xludf.DUMMYFUNCTION("""COMPUTED_VALUE"""),0.0)</f>
        <v>0</v>
      </c>
      <c r="I513" s="7">
        <f>IFERROR(__xludf.DUMMYFUNCTION("""COMPUTED_VALUE"""),100.0)</f>
        <v>100</v>
      </c>
      <c r="J513" s="7">
        <f>IFERROR(__xludf.DUMMYFUNCTION("""COMPUTED_VALUE"""),0.0)</f>
        <v>0</v>
      </c>
      <c r="K513" s="7">
        <f>IFERROR(__xludf.DUMMYFUNCTION("""COMPUTED_VALUE"""),100.0)</f>
        <v>100</v>
      </c>
      <c r="L513" s="7">
        <f>IFERROR(__xludf.DUMMYFUNCTION("""COMPUTED_VALUE"""),0.0)</f>
        <v>0</v>
      </c>
    </row>
    <row r="514" ht="15.75" customHeight="1">
      <c r="A514" s="5" t="s">
        <v>47</v>
      </c>
      <c r="C514" s="5" t="s">
        <v>21</v>
      </c>
      <c r="D514" s="5" t="s">
        <v>84</v>
      </c>
      <c r="E514" s="5">
        <v>2.0</v>
      </c>
      <c r="F514" s="7">
        <f>IFERROR(__xludf.DUMMYFUNCTION("""COMPUTED_VALUE"""),100.0)</f>
        <v>100</v>
      </c>
      <c r="G514" s="7">
        <f>IFERROR(__xludf.DUMMYFUNCTION("""COMPUTED_VALUE"""),0.0)</f>
        <v>0</v>
      </c>
      <c r="H514" s="7">
        <f>IFERROR(__xludf.DUMMYFUNCTION("""COMPUTED_VALUE"""),0.0)</f>
        <v>0</v>
      </c>
      <c r="I514" s="7">
        <f>IFERROR(__xludf.DUMMYFUNCTION("""COMPUTED_VALUE"""),100.0)</f>
        <v>100</v>
      </c>
      <c r="J514" s="7">
        <f>IFERROR(__xludf.DUMMYFUNCTION("""COMPUTED_VALUE"""),0.0)</f>
        <v>0</v>
      </c>
      <c r="K514" s="7">
        <f>IFERROR(__xludf.DUMMYFUNCTION("""COMPUTED_VALUE"""),100.0)</f>
        <v>100</v>
      </c>
      <c r="L514" s="7">
        <f>IFERROR(__xludf.DUMMYFUNCTION("""COMPUTED_VALUE"""),0.0)</f>
        <v>0</v>
      </c>
    </row>
    <row r="515" ht="15.75" customHeight="1">
      <c r="A515" s="5" t="s">
        <v>47</v>
      </c>
      <c r="B515" s="5">
        <v>6.0</v>
      </c>
      <c r="C515" s="5" t="s">
        <v>48</v>
      </c>
      <c r="D515" s="8" t="s">
        <v>85</v>
      </c>
      <c r="E515" s="5">
        <v>8.0</v>
      </c>
      <c r="F515" s="5"/>
      <c r="G515" s="5"/>
      <c r="H515" s="5"/>
      <c r="I515" s="5"/>
      <c r="J515" s="5"/>
      <c r="K515" s="5"/>
      <c r="L515" s="5"/>
    </row>
    <row r="516" ht="15.75" customHeight="1">
      <c r="A516" s="5" t="s">
        <v>47</v>
      </c>
      <c r="C516" s="5" t="s">
        <v>21</v>
      </c>
      <c r="D516" s="5" t="s">
        <v>86</v>
      </c>
      <c r="E516" s="5">
        <v>2.0</v>
      </c>
      <c r="F516" s="7">
        <f>IFERROR(__xludf.DUMMYFUNCTION("""COMPUTED_VALUE"""),400.0)</f>
        <v>400</v>
      </c>
      <c r="G516" s="7">
        <f>IFERROR(__xludf.DUMMYFUNCTION("""COMPUTED_VALUE"""),100.0)</f>
        <v>100</v>
      </c>
      <c r="H516" s="7">
        <f>IFERROR(__xludf.DUMMYFUNCTION("""COMPUTED_VALUE"""),700.0)</f>
        <v>700</v>
      </c>
      <c r="I516" s="7">
        <f>IFERROR(__xludf.DUMMYFUNCTION("""COMPUTED_VALUE"""),200.0)</f>
        <v>200</v>
      </c>
      <c r="J516" s="7">
        <f>IFERROR(__xludf.DUMMYFUNCTION("""COMPUTED_VALUE"""),200.0)</f>
        <v>200</v>
      </c>
      <c r="K516" s="7">
        <f>IFERROR(__xludf.DUMMYFUNCTION("""COMPUTED_VALUE"""),300.0)</f>
        <v>300</v>
      </c>
      <c r="L516" s="7">
        <f>IFERROR(__xludf.DUMMYFUNCTION("""COMPUTED_VALUE"""),100.0)</f>
        <v>100</v>
      </c>
    </row>
    <row r="517" ht="15.75" customHeight="1">
      <c r="A517" s="5" t="s">
        <v>47</v>
      </c>
      <c r="C517" s="5" t="s">
        <v>21</v>
      </c>
      <c r="D517" s="5" t="s">
        <v>87</v>
      </c>
      <c r="E517" s="5">
        <v>2.0</v>
      </c>
      <c r="F517" s="7">
        <f>IFERROR(__xludf.DUMMYFUNCTION("""COMPUTED_VALUE"""),3000.0)</f>
        <v>3000</v>
      </c>
      <c r="G517" s="7">
        <f>IFERROR(__xludf.DUMMYFUNCTION("""COMPUTED_VALUE"""),3000.0)</f>
        <v>3000</v>
      </c>
      <c r="H517" s="7">
        <f>IFERROR(__xludf.DUMMYFUNCTION("""COMPUTED_VALUE"""),3000.0)</f>
        <v>3000</v>
      </c>
      <c r="I517" s="7">
        <f>IFERROR(__xludf.DUMMYFUNCTION("""COMPUTED_VALUE"""),3000.0)</f>
        <v>3000</v>
      </c>
      <c r="J517" s="7">
        <f>IFERROR(__xludf.DUMMYFUNCTION("""COMPUTED_VALUE"""),3000.0)</f>
        <v>3000</v>
      </c>
      <c r="K517" s="7">
        <f>IFERROR(__xludf.DUMMYFUNCTION("""COMPUTED_VALUE"""),3000.0)</f>
        <v>3000</v>
      </c>
      <c r="L517" s="7">
        <f>IFERROR(__xludf.DUMMYFUNCTION("""COMPUTED_VALUE"""),3000.0)</f>
        <v>3000</v>
      </c>
    </row>
    <row r="518" ht="15.75" customHeight="1">
      <c r="A518" s="5" t="s">
        <v>47</v>
      </c>
      <c r="C518" s="5" t="s">
        <v>21</v>
      </c>
      <c r="D518" s="5" t="s">
        <v>88</v>
      </c>
      <c r="E518" s="5">
        <v>2.0</v>
      </c>
      <c r="F518" s="7">
        <f>IFERROR(__xludf.DUMMYFUNCTION("""COMPUTED_VALUE"""),0.0)</f>
        <v>0</v>
      </c>
      <c r="G518" s="7">
        <f>IFERROR(__xludf.DUMMYFUNCTION("""COMPUTED_VALUE"""),0.0)</f>
        <v>0</v>
      </c>
      <c r="H518" s="7">
        <f>IFERROR(__xludf.DUMMYFUNCTION("""COMPUTED_VALUE"""),0.0)</f>
        <v>0</v>
      </c>
      <c r="I518" s="7">
        <f>IFERROR(__xludf.DUMMYFUNCTION("""COMPUTED_VALUE"""),0.0)</f>
        <v>0</v>
      </c>
      <c r="J518" s="7">
        <f>IFERROR(__xludf.DUMMYFUNCTION("""COMPUTED_VALUE"""),0.0)</f>
        <v>0</v>
      </c>
      <c r="K518" s="7">
        <f>IFERROR(__xludf.DUMMYFUNCTION("""COMPUTED_VALUE"""),0.0)</f>
        <v>0</v>
      </c>
      <c r="L518" s="7">
        <f>IFERROR(__xludf.DUMMYFUNCTION("""COMPUTED_VALUE"""),0.0)</f>
        <v>0</v>
      </c>
    </row>
    <row r="519" ht="15.75" customHeight="1">
      <c r="A519" s="5" t="s">
        <v>47</v>
      </c>
      <c r="C519" s="5" t="s">
        <v>21</v>
      </c>
      <c r="D519" s="5" t="s">
        <v>89</v>
      </c>
      <c r="E519" s="5">
        <v>1.2</v>
      </c>
      <c r="F519" s="7">
        <f>IFERROR(__xludf.DUMMYFUNCTION("""COMPUTED_VALUE"""),0.0)</f>
        <v>0</v>
      </c>
      <c r="G519" s="7">
        <f>IFERROR(__xludf.DUMMYFUNCTION("""COMPUTED_VALUE"""),0.0)</f>
        <v>0</v>
      </c>
      <c r="H519" s="7">
        <f>IFERROR(__xludf.DUMMYFUNCTION("""COMPUTED_VALUE"""),0.0)</f>
        <v>0</v>
      </c>
      <c r="I519" s="7">
        <f>IFERROR(__xludf.DUMMYFUNCTION("""COMPUTED_VALUE"""),0.0)</f>
        <v>0</v>
      </c>
      <c r="J519" s="7">
        <f>IFERROR(__xludf.DUMMYFUNCTION("""COMPUTED_VALUE"""),0.0)</f>
        <v>0</v>
      </c>
      <c r="K519" s="7">
        <f>IFERROR(__xludf.DUMMYFUNCTION("""COMPUTED_VALUE"""),0.0)</f>
        <v>0</v>
      </c>
      <c r="L519" s="7">
        <f>IFERROR(__xludf.DUMMYFUNCTION("""COMPUTED_VALUE"""),0.0)</f>
        <v>0</v>
      </c>
    </row>
    <row r="520" ht="15.75" customHeight="1">
      <c r="A520" s="5" t="s">
        <v>47</v>
      </c>
      <c r="C520" s="5" t="s">
        <v>21</v>
      </c>
      <c r="D520" s="5" t="s">
        <v>92</v>
      </c>
      <c r="E520" s="5">
        <v>0.8</v>
      </c>
      <c r="F520" s="7">
        <f>IFERROR(__xludf.DUMMYFUNCTION("""COMPUTED_VALUE"""),0.0)</f>
        <v>0</v>
      </c>
      <c r="G520" s="7">
        <f>IFERROR(__xludf.DUMMYFUNCTION("""COMPUTED_VALUE"""),0.0)</f>
        <v>0</v>
      </c>
      <c r="H520" s="7">
        <f>IFERROR(__xludf.DUMMYFUNCTION("""COMPUTED_VALUE"""),0.0)</f>
        <v>0</v>
      </c>
      <c r="I520" s="7">
        <f>IFERROR(__xludf.DUMMYFUNCTION("""COMPUTED_VALUE"""),0.0)</f>
        <v>0</v>
      </c>
      <c r="J520" s="7">
        <f>IFERROR(__xludf.DUMMYFUNCTION("""COMPUTED_VALUE"""),0.0)</f>
        <v>0</v>
      </c>
      <c r="K520" s="7">
        <f>IFERROR(__xludf.DUMMYFUNCTION("""COMPUTED_VALUE"""),0.0)</f>
        <v>0</v>
      </c>
      <c r="L520" s="7">
        <f>IFERROR(__xludf.DUMMYFUNCTION("""COMPUTED_VALUE"""),0.0)</f>
        <v>0</v>
      </c>
    </row>
    <row r="521" ht="15.75" customHeight="1">
      <c r="A521" s="5" t="s">
        <v>47</v>
      </c>
      <c r="B521" s="5">
        <v>7.0</v>
      </c>
      <c r="C521" s="5" t="s">
        <v>48</v>
      </c>
      <c r="D521" s="8" t="s">
        <v>94</v>
      </c>
      <c r="E521" s="5">
        <v>7.0</v>
      </c>
      <c r="F521" s="5"/>
      <c r="G521" s="5"/>
      <c r="H521" s="5"/>
      <c r="I521" s="5"/>
      <c r="J521" s="5"/>
      <c r="K521" s="5"/>
      <c r="L521" s="5"/>
    </row>
    <row r="522" ht="15.75" customHeight="1">
      <c r="A522" s="5" t="s">
        <v>47</v>
      </c>
      <c r="C522" s="5" t="s">
        <v>21</v>
      </c>
      <c r="D522" s="5" t="s">
        <v>95</v>
      </c>
      <c r="E522" s="5">
        <v>5.0</v>
      </c>
      <c r="F522" s="7">
        <f>IFERROR(__xludf.DUMMYFUNCTION("""COMPUTED_VALUE"""),23000.0)</f>
        <v>23000</v>
      </c>
      <c r="G522" s="7">
        <f>IFERROR(__xludf.DUMMYFUNCTION("""COMPUTED_VALUE"""),31100.0)</f>
        <v>31100</v>
      </c>
      <c r="H522" s="7">
        <f>IFERROR(__xludf.DUMMYFUNCTION("""COMPUTED_VALUE"""),62500.0)</f>
        <v>62500</v>
      </c>
      <c r="I522" s="7">
        <f>IFERROR(__xludf.DUMMYFUNCTION("""COMPUTED_VALUE"""),14300.0)</f>
        <v>14300</v>
      </c>
      <c r="J522" s="7">
        <f>IFERROR(__xludf.DUMMYFUNCTION("""COMPUTED_VALUE"""),33500.0)</f>
        <v>33500</v>
      </c>
      <c r="K522" s="7">
        <f>IFERROR(__xludf.DUMMYFUNCTION("""COMPUTED_VALUE"""),30900.0)</f>
        <v>30900</v>
      </c>
      <c r="L522" s="7">
        <f>IFERROR(__xludf.DUMMYFUNCTION("""COMPUTED_VALUE"""),21500.0)</f>
        <v>21500</v>
      </c>
    </row>
    <row r="523" ht="15.75" customHeight="1">
      <c r="A523" s="5" t="s">
        <v>47</v>
      </c>
      <c r="C523" s="5" t="s">
        <v>21</v>
      </c>
      <c r="D523" s="5" t="s">
        <v>96</v>
      </c>
      <c r="E523" s="5">
        <v>2.0</v>
      </c>
      <c r="F523" s="7">
        <f>IFERROR(__xludf.DUMMYFUNCTION("""COMPUTED_VALUE"""),800.0)</f>
        <v>800</v>
      </c>
      <c r="G523" s="7">
        <f>IFERROR(__xludf.DUMMYFUNCTION("""COMPUTED_VALUE"""),700.0)</f>
        <v>700</v>
      </c>
      <c r="H523" s="7">
        <f>IFERROR(__xludf.DUMMYFUNCTION("""COMPUTED_VALUE"""),900.0)</f>
        <v>900</v>
      </c>
      <c r="I523" s="7">
        <f>IFERROR(__xludf.DUMMYFUNCTION("""COMPUTED_VALUE"""),700.0)</f>
        <v>700</v>
      </c>
      <c r="J523" s="7">
        <f>IFERROR(__xludf.DUMMYFUNCTION("""COMPUTED_VALUE"""),700.0)</f>
        <v>700</v>
      </c>
      <c r="K523" s="7">
        <f>IFERROR(__xludf.DUMMYFUNCTION("""COMPUTED_VALUE"""),700.0)</f>
        <v>700</v>
      </c>
      <c r="L523" s="7">
        <f>IFERROR(__xludf.DUMMYFUNCTION("""COMPUTED_VALUE"""),700.0)</f>
        <v>700</v>
      </c>
    </row>
    <row r="524" ht="15.75" customHeight="1">
      <c r="A524" s="5" t="s">
        <v>47</v>
      </c>
      <c r="B524" s="5">
        <v>8.0</v>
      </c>
      <c r="C524" s="5" t="s">
        <v>48</v>
      </c>
      <c r="D524" s="8" t="s">
        <v>97</v>
      </c>
      <c r="E524" s="5">
        <v>8.0</v>
      </c>
      <c r="F524" s="5"/>
      <c r="G524" s="5"/>
      <c r="H524" s="5"/>
      <c r="I524" s="5"/>
      <c r="J524" s="5"/>
      <c r="K524" s="5"/>
      <c r="L524" s="5"/>
    </row>
    <row r="525" ht="15.75" customHeight="1">
      <c r="A525" s="5" t="s">
        <v>47</v>
      </c>
      <c r="C525" s="5" t="s">
        <v>21</v>
      </c>
      <c r="D525" s="5" t="s">
        <v>98</v>
      </c>
      <c r="E525" s="5">
        <v>6.0</v>
      </c>
      <c r="F525" s="7">
        <f>IFERROR(__xludf.DUMMYFUNCTION("""COMPUTED_VALUE"""),0.0)</f>
        <v>0</v>
      </c>
      <c r="G525" s="7">
        <f>IFERROR(__xludf.DUMMYFUNCTION("""COMPUTED_VALUE"""),0.0)</f>
        <v>0</v>
      </c>
      <c r="H525" s="7">
        <f>IFERROR(__xludf.DUMMYFUNCTION("""COMPUTED_VALUE"""),0.0)</f>
        <v>0</v>
      </c>
      <c r="I525" s="7">
        <f>IFERROR(__xludf.DUMMYFUNCTION("""COMPUTED_VALUE"""),0.0)</f>
        <v>0</v>
      </c>
      <c r="J525" s="7">
        <f>IFERROR(__xludf.DUMMYFUNCTION("""COMPUTED_VALUE"""),0.0)</f>
        <v>0</v>
      </c>
      <c r="K525" s="7">
        <f>IFERROR(__xludf.DUMMYFUNCTION("""COMPUTED_VALUE"""),0.0)</f>
        <v>0</v>
      </c>
      <c r="L525" s="7">
        <f>IFERROR(__xludf.DUMMYFUNCTION("""COMPUTED_VALUE"""),0.0)</f>
        <v>0</v>
      </c>
    </row>
    <row r="526" ht="15.75" customHeight="1">
      <c r="A526" s="5" t="s">
        <v>47</v>
      </c>
      <c r="C526" s="5" t="s">
        <v>21</v>
      </c>
      <c r="D526" s="5" t="s">
        <v>99</v>
      </c>
      <c r="E526" s="5">
        <v>2.0</v>
      </c>
      <c r="F526" s="7">
        <f>IFERROR(__xludf.DUMMYFUNCTION("""COMPUTED_VALUE"""),0.0)</f>
        <v>0</v>
      </c>
      <c r="G526" s="7">
        <f>IFERROR(__xludf.DUMMYFUNCTION("""COMPUTED_VALUE"""),0.0)</f>
        <v>0</v>
      </c>
      <c r="H526" s="7">
        <f>IFERROR(__xludf.DUMMYFUNCTION("""COMPUTED_VALUE"""),0.0)</f>
        <v>0</v>
      </c>
      <c r="I526" s="7">
        <f>IFERROR(__xludf.DUMMYFUNCTION("""COMPUTED_VALUE"""),0.0)</f>
        <v>0</v>
      </c>
      <c r="J526" s="7">
        <f>IFERROR(__xludf.DUMMYFUNCTION("""COMPUTED_VALUE"""),0.0)</f>
        <v>0</v>
      </c>
      <c r="K526" s="7">
        <f>IFERROR(__xludf.DUMMYFUNCTION("""COMPUTED_VALUE"""),0.0)</f>
        <v>0</v>
      </c>
      <c r="L526" s="7">
        <f>IFERROR(__xludf.DUMMYFUNCTION("""COMPUTED_VALUE"""),0.0)</f>
        <v>0</v>
      </c>
    </row>
    <row r="527" ht="15.75" customHeight="1">
      <c r="A527" s="5" t="s">
        <v>47</v>
      </c>
      <c r="B527" s="5">
        <v>9.0</v>
      </c>
      <c r="C527" s="5" t="s">
        <v>48</v>
      </c>
      <c r="D527" s="8" t="s">
        <v>101</v>
      </c>
      <c r="E527" s="5">
        <v>6.0</v>
      </c>
      <c r="F527" s="5"/>
      <c r="G527" s="5"/>
      <c r="H527" s="5"/>
      <c r="I527" s="5"/>
      <c r="J527" s="5"/>
      <c r="K527" s="5"/>
      <c r="L527" s="5"/>
    </row>
    <row r="528" ht="15.75" customHeight="1">
      <c r="A528" s="5" t="s">
        <v>47</v>
      </c>
      <c r="C528" s="5" t="s">
        <v>21</v>
      </c>
      <c r="D528" s="5" t="s">
        <v>102</v>
      </c>
      <c r="E528" s="5">
        <v>2.0</v>
      </c>
      <c r="F528" s="7">
        <f>IFERROR(__xludf.DUMMYFUNCTION("""COMPUTED_VALUE"""),713.6110063394179)</f>
        <v>713.6110063</v>
      </c>
      <c r="G528" s="7">
        <f>IFERROR(__xludf.DUMMYFUNCTION("""COMPUTED_VALUE"""),497.9715433645782)</f>
        <v>497.9715434</v>
      </c>
      <c r="H528" s="7">
        <f>IFERROR(__xludf.DUMMYFUNCTION("""COMPUTED_VALUE"""),743.9931987173162)</f>
        <v>743.9931987</v>
      </c>
      <c r="I528" s="7">
        <f>IFERROR(__xludf.DUMMYFUNCTION("""COMPUTED_VALUE"""),406.08393714849524)</f>
        <v>406.0839371</v>
      </c>
      <c r="J528" s="7">
        <f>IFERROR(__xludf.DUMMYFUNCTION("""COMPUTED_VALUE"""),258.61914975333)</f>
        <v>258.6191498</v>
      </c>
      <c r="K528" s="7">
        <f>IFERROR(__xludf.DUMMYFUNCTION("""COMPUTED_VALUE"""),224.53181196349283)</f>
        <v>224.531812</v>
      </c>
      <c r="L528" s="7">
        <f>IFERROR(__xludf.DUMMYFUNCTION("""COMPUTED_VALUE"""),159.3212527133695)</f>
        <v>159.3212527</v>
      </c>
    </row>
    <row r="529" ht="15.75" customHeight="1">
      <c r="A529" s="5" t="s">
        <v>47</v>
      </c>
      <c r="C529" s="5" t="s">
        <v>21</v>
      </c>
      <c r="D529" s="5" t="s">
        <v>103</v>
      </c>
      <c r="E529" s="5">
        <v>2.0</v>
      </c>
      <c r="F529" s="7">
        <f>IFERROR(__xludf.DUMMYFUNCTION("""COMPUTED_VALUE"""),0.0)</f>
        <v>0</v>
      </c>
      <c r="G529" s="7">
        <f>IFERROR(__xludf.DUMMYFUNCTION("""COMPUTED_VALUE"""),0.0)</f>
        <v>0</v>
      </c>
      <c r="H529" s="7">
        <f>IFERROR(__xludf.DUMMYFUNCTION("""COMPUTED_VALUE"""),0.0)</f>
        <v>0</v>
      </c>
      <c r="I529" s="7">
        <f>IFERROR(__xludf.DUMMYFUNCTION("""COMPUTED_VALUE"""),0.0)</f>
        <v>0</v>
      </c>
      <c r="J529" s="7">
        <f>IFERROR(__xludf.DUMMYFUNCTION("""COMPUTED_VALUE"""),0.0)</f>
        <v>0</v>
      </c>
      <c r="K529" s="7">
        <f>IFERROR(__xludf.DUMMYFUNCTION("""COMPUTED_VALUE"""),0.0)</f>
        <v>0</v>
      </c>
      <c r="L529" s="7">
        <f>IFERROR(__xludf.DUMMYFUNCTION("""COMPUTED_VALUE"""),0.0)</f>
        <v>0</v>
      </c>
    </row>
    <row r="530" ht="15.75" customHeight="1">
      <c r="A530" s="5" t="s">
        <v>47</v>
      </c>
      <c r="C530" s="5" t="s">
        <v>21</v>
      </c>
      <c r="D530" s="5" t="s">
        <v>104</v>
      </c>
      <c r="E530" s="5">
        <v>2.0</v>
      </c>
      <c r="F530" s="7">
        <f>IFERROR(__xludf.DUMMYFUNCTION("""COMPUTED_VALUE"""),0.0)</f>
        <v>0</v>
      </c>
      <c r="G530" s="7">
        <f>IFERROR(__xludf.DUMMYFUNCTION("""COMPUTED_VALUE"""),0.0)</f>
        <v>0</v>
      </c>
      <c r="H530" s="7">
        <f>IFERROR(__xludf.DUMMYFUNCTION("""COMPUTED_VALUE"""),0.0)</f>
        <v>0</v>
      </c>
      <c r="I530" s="7">
        <f>IFERROR(__xludf.DUMMYFUNCTION("""COMPUTED_VALUE"""),0.0)</f>
        <v>0</v>
      </c>
      <c r="J530" s="7">
        <f>IFERROR(__xludf.DUMMYFUNCTION("""COMPUTED_VALUE"""),0.0)</f>
        <v>0</v>
      </c>
      <c r="K530" s="7">
        <f>IFERROR(__xludf.DUMMYFUNCTION("""COMPUTED_VALUE"""),0.0)</f>
        <v>0</v>
      </c>
      <c r="L530" s="7">
        <f>IFERROR(__xludf.DUMMYFUNCTION("""COMPUTED_VALUE"""),0.0)</f>
        <v>0</v>
      </c>
    </row>
    <row r="531" ht="15.75" customHeight="1">
      <c r="A531" s="5" t="s">
        <v>47</v>
      </c>
      <c r="B531" s="5">
        <v>10.0</v>
      </c>
      <c r="C531" s="5" t="s">
        <v>48</v>
      </c>
      <c r="D531" s="8" t="s">
        <v>107</v>
      </c>
      <c r="E531" s="5">
        <v>7.0</v>
      </c>
      <c r="F531" s="5"/>
      <c r="G531" s="5"/>
      <c r="H531" s="5"/>
      <c r="I531" s="5"/>
      <c r="J531" s="5"/>
      <c r="K531" s="5"/>
      <c r="L531" s="5"/>
    </row>
    <row r="532" ht="15.75" customHeight="1">
      <c r="A532" s="5" t="s">
        <v>47</v>
      </c>
      <c r="C532" s="5" t="s">
        <v>21</v>
      </c>
      <c r="D532" s="5" t="s">
        <v>108</v>
      </c>
      <c r="E532" s="5">
        <v>3.0</v>
      </c>
      <c r="F532" s="7">
        <f>IFERROR(__xludf.DUMMYFUNCTION("""COMPUTED_VALUE"""),51.42068238265044)</f>
        <v>51.42068238</v>
      </c>
      <c r="G532" s="7">
        <f>IFERROR(__xludf.DUMMYFUNCTION("""COMPUTED_VALUE"""),35.789198322896624)</f>
        <v>35.78919832</v>
      </c>
      <c r="H532" s="7">
        <f>IFERROR(__xludf.DUMMYFUNCTION("""COMPUTED_VALUE"""),68.05178227026127)</f>
        <v>68.05178227</v>
      </c>
      <c r="I532" s="7">
        <f>IFERROR(__xludf.DUMMYFUNCTION("""COMPUTED_VALUE"""),35.50039848565402)</f>
        <v>35.50039849</v>
      </c>
      <c r="J532" s="7">
        <f>IFERROR(__xludf.DUMMYFUNCTION("""COMPUTED_VALUE"""),69.72306375732829)</f>
        <v>69.72306376</v>
      </c>
      <c r="K532" s="7">
        <f>IFERROR(__xludf.DUMMYFUNCTION("""COMPUTED_VALUE"""),25.815539712578996)</f>
        <v>25.81553971</v>
      </c>
      <c r="L532" s="7">
        <f>IFERROR(__xludf.DUMMYFUNCTION("""COMPUTED_VALUE"""),61.17284864220029)</f>
        <v>61.17284864</v>
      </c>
    </row>
    <row r="533" ht="15.75" customHeight="1">
      <c r="A533" s="5" t="s">
        <v>47</v>
      </c>
      <c r="C533" s="5" t="s">
        <v>21</v>
      </c>
      <c r="D533" s="5" t="s">
        <v>109</v>
      </c>
      <c r="E533" s="5">
        <v>2.0</v>
      </c>
      <c r="F533" s="7">
        <f>IFERROR(__xludf.DUMMYFUNCTION("""COMPUTED_VALUE"""),66.17812852311161)</f>
        <v>66.17812852</v>
      </c>
      <c r="G533" s="7">
        <f>IFERROR(__xludf.DUMMYFUNCTION("""COMPUTED_VALUE"""),70.90261282660333)</f>
        <v>70.90261283</v>
      </c>
      <c r="H533" s="7">
        <f>IFERROR(__xludf.DUMMYFUNCTION("""COMPUTED_VALUE"""),103.62857142857142)</f>
        <v>103.6285714</v>
      </c>
      <c r="I533" s="7">
        <f>IFERROR(__xludf.DUMMYFUNCTION("""COMPUTED_VALUE"""),84.7457627118644)</f>
        <v>84.74576271</v>
      </c>
      <c r="J533" s="7">
        <f>IFERROR(__xludf.DUMMYFUNCTION("""COMPUTED_VALUE"""),76.6016713091922)</f>
        <v>76.60167131</v>
      </c>
      <c r="K533" s="7">
        <f>IFERROR(__xludf.DUMMYFUNCTION("""COMPUTED_VALUE"""),82.54295532646047)</f>
        <v>82.54295533</v>
      </c>
      <c r="L533" s="7">
        <f>IFERROR(__xludf.DUMMYFUNCTION("""COMPUTED_VALUE"""),70.50739957716702)</f>
        <v>70.50739958</v>
      </c>
    </row>
    <row r="534" ht="15.75" customHeight="1">
      <c r="A534" s="5" t="s">
        <v>47</v>
      </c>
      <c r="C534" s="5" t="s">
        <v>21</v>
      </c>
      <c r="D534" s="5" t="s">
        <v>110</v>
      </c>
      <c r="E534" s="5">
        <v>2.0</v>
      </c>
      <c r="F534" s="7">
        <f>IFERROR(__xludf.DUMMYFUNCTION("""COMPUTED_VALUE"""),100.0)</f>
        <v>100</v>
      </c>
      <c r="G534" s="7">
        <f>IFERROR(__xludf.DUMMYFUNCTION("""COMPUTED_VALUE"""),100.0)</f>
        <v>100</v>
      </c>
      <c r="H534" s="7">
        <f>IFERROR(__xludf.DUMMYFUNCTION("""COMPUTED_VALUE"""),100.0)</f>
        <v>100</v>
      </c>
      <c r="I534" s="7">
        <f>IFERROR(__xludf.DUMMYFUNCTION("""COMPUTED_VALUE"""),100.0)</f>
        <v>100</v>
      </c>
      <c r="J534" s="7">
        <f>IFERROR(__xludf.DUMMYFUNCTION("""COMPUTED_VALUE"""),100.0)</f>
        <v>100</v>
      </c>
      <c r="K534" s="7">
        <f>IFERROR(__xludf.DUMMYFUNCTION("""COMPUTED_VALUE"""),100.0)</f>
        <v>100</v>
      </c>
      <c r="L534" s="7">
        <f>IFERROR(__xludf.DUMMYFUNCTION("""COMPUTED_VALUE"""),100.0)</f>
        <v>100</v>
      </c>
    </row>
    <row r="535" ht="15.75" customHeight="1">
      <c r="A535" s="5" t="s">
        <v>47</v>
      </c>
      <c r="B535" s="15">
        <v>11.0</v>
      </c>
      <c r="C535" s="5" t="s">
        <v>48</v>
      </c>
      <c r="D535" s="8" t="s">
        <v>111</v>
      </c>
      <c r="E535" s="15">
        <v>4.0</v>
      </c>
      <c r="F535" s="5"/>
      <c r="G535" s="5"/>
      <c r="H535" s="5"/>
      <c r="I535" s="5"/>
      <c r="J535" s="5"/>
      <c r="K535" s="5"/>
      <c r="L535" s="5"/>
    </row>
    <row r="536" ht="15.75" customHeight="1">
      <c r="A536" s="5" t="s">
        <v>47</v>
      </c>
      <c r="C536" s="5" t="b">
        <v>0</v>
      </c>
      <c r="D536" s="15" t="s">
        <v>112</v>
      </c>
      <c r="E536" s="15">
        <v>2.0</v>
      </c>
      <c r="F536" s="7">
        <f>IFERROR(__xludf.DUMMYFUNCTION("""COMPUTED_VALUE"""),0.0)</f>
        <v>0</v>
      </c>
      <c r="G536" s="7">
        <f>IFERROR(__xludf.DUMMYFUNCTION("""COMPUTED_VALUE"""),0.0)</f>
        <v>0</v>
      </c>
      <c r="H536" s="7">
        <f>IFERROR(__xludf.DUMMYFUNCTION("""COMPUTED_VALUE"""),0.0)</f>
        <v>0</v>
      </c>
      <c r="I536" s="7">
        <f>IFERROR(__xludf.DUMMYFUNCTION("""COMPUTED_VALUE"""),0.0)</f>
        <v>0</v>
      </c>
      <c r="J536" s="7">
        <f>IFERROR(__xludf.DUMMYFUNCTION("""COMPUTED_VALUE"""),0.0)</f>
        <v>0</v>
      </c>
      <c r="K536" s="7">
        <f>IFERROR(__xludf.DUMMYFUNCTION("""COMPUTED_VALUE"""),0.0)</f>
        <v>0</v>
      </c>
      <c r="L536" s="7">
        <f>IFERROR(__xludf.DUMMYFUNCTION("""COMPUTED_VALUE"""),0.0)</f>
        <v>0</v>
      </c>
    </row>
    <row r="537" ht="15.75" customHeight="1">
      <c r="A537" s="5" t="s">
        <v>47</v>
      </c>
      <c r="C537" s="5" t="s">
        <v>21</v>
      </c>
      <c r="D537" s="15" t="s">
        <v>113</v>
      </c>
      <c r="E537" s="15">
        <v>2.0</v>
      </c>
      <c r="F537" s="7">
        <f>IFERROR(__xludf.DUMMYFUNCTION("""COMPUTED_VALUE"""),100.0)</f>
        <v>100</v>
      </c>
      <c r="G537" s="7">
        <f>IFERROR(__xludf.DUMMYFUNCTION("""COMPUTED_VALUE"""),100.0)</f>
        <v>100</v>
      </c>
      <c r="H537" s="7">
        <f>IFERROR(__xludf.DUMMYFUNCTION("""COMPUTED_VALUE"""),100.0)</f>
        <v>100</v>
      </c>
      <c r="I537" s="7">
        <f>IFERROR(__xludf.DUMMYFUNCTION("""COMPUTED_VALUE"""),100.0)</f>
        <v>100</v>
      </c>
      <c r="J537" s="7">
        <f>IFERROR(__xludf.DUMMYFUNCTION("""COMPUTED_VALUE"""),100.0)</f>
        <v>100</v>
      </c>
      <c r="K537" s="7">
        <f>IFERROR(__xludf.DUMMYFUNCTION("""COMPUTED_VALUE"""),100.0)</f>
        <v>100</v>
      </c>
      <c r="L537" s="7">
        <f>IFERROR(__xludf.DUMMYFUNCTION("""COMPUTED_VALUE"""),100.0)</f>
        <v>100</v>
      </c>
    </row>
    <row r="538" ht="15.75" customHeight="1">
      <c r="A538" s="5" t="s">
        <v>47</v>
      </c>
      <c r="B538" s="15">
        <v>12.0</v>
      </c>
      <c r="C538" s="5" t="s">
        <v>48</v>
      </c>
      <c r="D538" s="8" t="s">
        <v>117</v>
      </c>
    </row>
    <row r="539" ht="15.75" customHeight="1">
      <c r="A539" s="5" t="s">
        <v>47</v>
      </c>
      <c r="C539" s="5" t="s">
        <v>21</v>
      </c>
      <c r="D539" s="15" t="s">
        <v>118</v>
      </c>
    </row>
    <row r="540" ht="15.75" customHeight="1">
      <c r="A540" s="5" t="s">
        <v>47</v>
      </c>
      <c r="C540" s="5" t="s">
        <v>21</v>
      </c>
      <c r="D540" s="15" t="s">
        <v>119</v>
      </c>
    </row>
    <row r="541" ht="15.75" customHeight="1">
      <c r="A541" s="5" t="s">
        <v>47</v>
      </c>
      <c r="C541" s="5" t="s">
        <v>21</v>
      </c>
      <c r="D541" s="15" t="s">
        <v>120</v>
      </c>
    </row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3"/>
      <c r="C1" s="3"/>
      <c r="D1" s="3"/>
      <c r="E1" s="6" t="s">
        <v>17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" t="s">
        <v>50</v>
      </c>
      <c r="S2" s="3"/>
      <c r="T2" s="3"/>
      <c r="U2" s="3"/>
      <c r="V2" s="3"/>
      <c r="W2" s="3"/>
      <c r="X2" s="9">
        <v>1379.0</v>
      </c>
      <c r="Y2" s="3"/>
      <c r="Z2" s="3"/>
      <c r="AA2" s="3"/>
      <c r="AB2" s="3"/>
      <c r="AC2" s="3"/>
      <c r="AD2" s="3"/>
      <c r="AE2" s="6" t="s">
        <v>52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6" t="s">
        <v>54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6" t="s">
        <v>56</v>
      </c>
      <c r="BF2" s="3"/>
      <c r="BG2" s="3"/>
      <c r="BH2" s="3"/>
    </row>
    <row r="3">
      <c r="A3" s="6" t="s">
        <v>2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</v>
      </c>
      <c r="G3" s="6" t="s">
        <v>61</v>
      </c>
      <c r="H3" s="6" t="s">
        <v>63</v>
      </c>
      <c r="I3" s="6" t="s">
        <v>41</v>
      </c>
      <c r="K3" s="6" t="s">
        <v>54</v>
      </c>
      <c r="L3" s="6" t="s">
        <v>65</v>
      </c>
      <c r="M3" s="3"/>
      <c r="N3" s="3"/>
      <c r="O3" s="3"/>
      <c r="P3" s="3"/>
      <c r="Q3" s="3"/>
      <c r="R3" s="6" t="s">
        <v>66</v>
      </c>
      <c r="U3" s="6" t="s">
        <v>67</v>
      </c>
      <c r="X3" s="6" t="s">
        <v>68</v>
      </c>
      <c r="AA3" s="6" t="s">
        <v>69</v>
      </c>
      <c r="AD3" s="3"/>
      <c r="AE3" s="6" t="s">
        <v>66</v>
      </c>
      <c r="AH3" s="6" t="s">
        <v>67</v>
      </c>
      <c r="AK3" s="6" t="s">
        <v>68</v>
      </c>
      <c r="AN3" s="6" t="s">
        <v>69</v>
      </c>
      <c r="AQ3" s="3"/>
      <c r="AR3" s="6" t="s">
        <v>66</v>
      </c>
      <c r="AU3" s="6" t="s">
        <v>67</v>
      </c>
      <c r="AX3" s="6" t="s">
        <v>68</v>
      </c>
      <c r="BA3" s="6" t="s">
        <v>69</v>
      </c>
      <c r="BD3" s="3"/>
      <c r="BE3" s="6" t="s">
        <v>71</v>
      </c>
      <c r="BH3" s="6" t="s">
        <v>72</v>
      </c>
    </row>
    <row r="4">
      <c r="A4" s="3"/>
      <c r="B4" s="3"/>
      <c r="C4" s="3"/>
      <c r="D4" s="3"/>
      <c r="E4" s="3"/>
      <c r="F4" s="3"/>
      <c r="G4" s="3"/>
      <c r="H4" s="3"/>
      <c r="I4" s="6" t="s">
        <v>50</v>
      </c>
      <c r="J4" s="6" t="s">
        <v>52</v>
      </c>
      <c r="K4" s="3"/>
      <c r="L4" s="3"/>
      <c r="M4" s="3"/>
      <c r="N4" s="3"/>
      <c r="O4" s="3"/>
      <c r="P4" s="3"/>
      <c r="Q4" s="3"/>
      <c r="R4" s="6" t="s">
        <v>16</v>
      </c>
      <c r="S4" s="6" t="s">
        <v>26</v>
      </c>
      <c r="T4" s="6" t="s">
        <v>37</v>
      </c>
      <c r="U4" s="6" t="s">
        <v>38</v>
      </c>
      <c r="V4" s="6" t="s">
        <v>39</v>
      </c>
      <c r="W4" s="6" t="s">
        <v>41</v>
      </c>
      <c r="X4" s="6" t="s">
        <v>42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3"/>
      <c r="AE4" s="6" t="s">
        <v>16</v>
      </c>
      <c r="AF4" s="6" t="s">
        <v>26</v>
      </c>
      <c r="AG4" s="6" t="s">
        <v>37</v>
      </c>
      <c r="AH4" s="6" t="s">
        <v>38</v>
      </c>
      <c r="AI4" s="6" t="s">
        <v>39</v>
      </c>
      <c r="AJ4" s="6" t="s">
        <v>41</v>
      </c>
      <c r="AK4" s="6" t="s">
        <v>42</v>
      </c>
      <c r="AL4" s="6" t="s">
        <v>43</v>
      </c>
      <c r="AM4" s="6" t="s">
        <v>44</v>
      </c>
      <c r="AN4" s="6" t="s">
        <v>45</v>
      </c>
      <c r="AO4" s="6" t="s">
        <v>46</v>
      </c>
      <c r="AP4" s="6" t="s">
        <v>47</v>
      </c>
      <c r="AQ4" s="3"/>
      <c r="AR4" s="6" t="s">
        <v>16</v>
      </c>
      <c r="AS4" s="6" t="s">
        <v>26</v>
      </c>
      <c r="AT4" s="6" t="s">
        <v>37</v>
      </c>
      <c r="AU4" s="6" t="s">
        <v>38</v>
      </c>
      <c r="AV4" s="6" t="s">
        <v>39</v>
      </c>
      <c r="AW4" s="6" t="s">
        <v>41</v>
      </c>
      <c r="AX4" s="6" t="s">
        <v>42</v>
      </c>
      <c r="AY4" s="6" t="s">
        <v>43</v>
      </c>
      <c r="AZ4" s="6" t="s">
        <v>44</v>
      </c>
      <c r="BA4" s="6" t="s">
        <v>45</v>
      </c>
      <c r="BB4" s="6" t="s">
        <v>46</v>
      </c>
      <c r="BC4" s="6" t="s">
        <v>47</v>
      </c>
      <c r="BD4" s="3"/>
      <c r="BE4" s="6" t="s">
        <v>16</v>
      </c>
      <c r="BF4" s="6" t="s">
        <v>26</v>
      </c>
      <c r="BG4" s="6" t="s">
        <v>37</v>
      </c>
      <c r="BH4" s="6" t="s">
        <v>38</v>
      </c>
    </row>
    <row r="5">
      <c r="A5" s="9">
        <v>1.0</v>
      </c>
      <c r="B5" s="6" t="s">
        <v>23</v>
      </c>
      <c r="C5" s="9">
        <v>3.0</v>
      </c>
      <c r="D5" s="6" t="s">
        <v>77</v>
      </c>
      <c r="E5" s="6" t="s">
        <v>78</v>
      </c>
      <c r="F5" s="9">
        <v>14.0</v>
      </c>
      <c r="G5" s="10">
        <v>4.862939825E9</v>
      </c>
      <c r="H5" s="10">
        <v>1.002652101E9</v>
      </c>
      <c r="I5" s="11">
        <v>48.63</v>
      </c>
      <c r="J5" s="11">
        <v>39.07</v>
      </c>
      <c r="K5" s="11">
        <v>92.14</v>
      </c>
      <c r="L5" s="11">
        <v>12.9</v>
      </c>
      <c r="M5" s="3"/>
      <c r="N5" s="6" t="s">
        <v>80</v>
      </c>
      <c r="O5" s="3"/>
      <c r="P5" s="3"/>
      <c r="Q5" s="3"/>
      <c r="R5" s="10">
        <f>IFERROR(__xludf.DUMMYFUNCTION("IMPORTRANGE(""1Oll_sAr-jpBfzl7ZdroBBuuM-sHhVKRxyQNEl9IyQIU"",""kwh jual!D10:O10"")"),8.25082141412793)</f>
        <v>8.250821414</v>
      </c>
      <c r="S5" s="10">
        <f>IFERROR(__xludf.DUMMYFUNCTION("""COMPUTED_VALUE"""),15.9046737822093)</f>
        <v>15.90467378</v>
      </c>
      <c r="T5" s="10">
        <f>IFERROR(__xludf.DUMMYFUNCTION("""COMPUTED_VALUE"""),24.1968041382866)</f>
        <v>24.19680414</v>
      </c>
      <c r="U5" s="10">
        <f>IFERROR(__xludf.DUMMYFUNCTION("""COMPUTED_VALUE"""),31.7709631493329)</f>
        <v>31.77096315</v>
      </c>
      <c r="V5" s="10">
        <f>IFERROR(__xludf.DUMMYFUNCTION("""COMPUTED_VALUE"""),40.3602985479306)</f>
        <v>40.36029855</v>
      </c>
      <c r="W5" s="10">
        <f>IFERROR(__xludf.DUMMYFUNCTION("""COMPUTED_VALUE"""),48.6293982549565)</f>
        <v>48.62939825</v>
      </c>
      <c r="X5" s="10">
        <f>IFERROR(__xludf.DUMMYFUNCTION("""COMPUTED_VALUE"""),57.1361157696555)</f>
        <v>57.13611577</v>
      </c>
      <c r="Y5" s="10">
        <f>IFERROR(__xludf.DUMMYFUNCTION("""COMPUTED_VALUE"""),65.6088356595644)</f>
        <v>65.60883566</v>
      </c>
      <c r="Z5" s="10">
        <f>IFERROR(__xludf.DUMMYFUNCTION("""COMPUTED_VALUE"""),73.9993032314325)</f>
        <v>73.99930323</v>
      </c>
      <c r="AA5" s="10">
        <f>IFERROR(__xludf.DUMMYFUNCTION("""COMPUTED_VALUE"""),83.1007963970303)</f>
        <v>83.1007964</v>
      </c>
      <c r="AB5" s="10">
        <f>IFERROR(__xludf.DUMMYFUNCTION("""COMPUTED_VALUE"""),91.769825152663)</f>
        <v>91.76982515</v>
      </c>
      <c r="AC5" s="10">
        <f>IFERROR(__xludf.DUMMYFUNCTION("""COMPUTED_VALUE"""),100.265210125765)</f>
        <v>100.2652101</v>
      </c>
      <c r="AD5" s="3"/>
      <c r="AE5" s="10">
        <f>IFERROR(__xludf.DUMMYFUNCTION("IMPORTRANGE(""1e7--NjE9N54w7uxIeTVQ2x149gW2CjGTf8gPedLtEqw"",""UP3!AE5:AP5"")"),2.975639757000005)</f>
        <v>2.975639757</v>
      </c>
      <c r="AF5" s="10">
        <f>IFERROR(__xludf.DUMMYFUNCTION("""COMPUTED_VALUE"""),1.0118817570000118)</f>
        <v>1.011881757</v>
      </c>
      <c r="AG5" s="10">
        <f>IFERROR(__xludf.DUMMYFUNCTION("""COMPUTED_VALUE"""),15.58127324300002)</f>
        <v>15.58127324</v>
      </c>
      <c r="AH5" s="10">
        <f>IFERROR(__xludf.DUMMYFUNCTION("""COMPUTED_VALUE"""),17.446674561000002)</f>
        <v>17.44667456</v>
      </c>
      <c r="AI5" s="10">
        <f>IFERROR(__xludf.DUMMYFUNCTION("""COMPUTED_VALUE"""),24.22232979300002)</f>
        <v>24.22232979</v>
      </c>
      <c r="AJ5" s="10">
        <f>IFERROR(__xludf.DUMMYFUNCTION("""COMPUTED_VALUE"""),39.073061527000014)</f>
        <v>39.07306153</v>
      </c>
      <c r="AK5" s="12">
        <f>IFERROR(__xludf.DUMMYFUNCTION("""COMPUTED_VALUE"""),0.0)</f>
        <v>0</v>
      </c>
      <c r="AL5" s="12">
        <f>IFERROR(__xludf.DUMMYFUNCTION("""COMPUTED_VALUE"""),0.0)</f>
        <v>0</v>
      </c>
      <c r="AM5" s="12">
        <f>IFERROR(__xludf.DUMMYFUNCTION("""COMPUTED_VALUE"""),0.0)</f>
        <v>0</v>
      </c>
      <c r="AN5" s="12">
        <f>IFERROR(__xludf.DUMMYFUNCTION("""COMPUTED_VALUE"""),0.0)</f>
        <v>0</v>
      </c>
      <c r="AO5" s="12">
        <f>IFERROR(__xludf.DUMMYFUNCTION("""COMPUTED_VALUE"""),0.0)</f>
        <v>0</v>
      </c>
      <c r="AP5" s="12">
        <f>IFERROR(__xludf.DUMMYFUNCTION("""COMPUTED_VALUE"""),0.0)</f>
        <v>0</v>
      </c>
      <c r="AQ5" s="3"/>
      <c r="AR5" s="10">
        <v>7.442590796E9</v>
      </c>
      <c r="AS5" s="10">
        <v>6.254486642E9</v>
      </c>
      <c r="AT5" s="10">
        <v>8.57575722E8</v>
      </c>
      <c r="AU5" s="10">
        <v>8.196555953E9</v>
      </c>
      <c r="AV5" s="10">
        <v>8.400609576E9</v>
      </c>
      <c r="AW5" s="10">
        <v>9.213945714E9</v>
      </c>
      <c r="AX5" s="9">
        <v>60.0</v>
      </c>
      <c r="AY5" s="9">
        <v>60.0</v>
      </c>
      <c r="AZ5" s="9">
        <v>60.0</v>
      </c>
      <c r="BA5" s="9">
        <v>60.0</v>
      </c>
      <c r="BB5" s="9">
        <v>60.0</v>
      </c>
      <c r="BC5" s="9">
        <v>60.0</v>
      </c>
      <c r="BD5" s="3"/>
      <c r="BE5" s="10">
        <v>1.041962711E9</v>
      </c>
      <c r="BF5" s="10">
        <v>8.756281299E9</v>
      </c>
      <c r="BG5" s="10">
        <v>1.200606011E9</v>
      </c>
      <c r="BH5" s="10">
        <v>1.147517833E9</v>
      </c>
    </row>
    <row r="6">
      <c r="A6" s="9">
        <v>2.0</v>
      </c>
      <c r="B6" s="6" t="s">
        <v>40</v>
      </c>
      <c r="C6" s="9">
        <v>1.0</v>
      </c>
      <c r="D6" s="6" t="s">
        <v>90</v>
      </c>
      <c r="E6" s="6" t="s">
        <v>91</v>
      </c>
      <c r="F6" s="9">
        <v>12.0</v>
      </c>
      <c r="G6" s="10">
        <v>7552.0</v>
      </c>
      <c r="H6" s="10">
        <v>7.449999998E9</v>
      </c>
      <c r="I6" s="11">
        <v>7.55</v>
      </c>
      <c r="J6" s="11">
        <v>7.28</v>
      </c>
      <c r="K6" s="11">
        <v>103.6</v>
      </c>
      <c r="L6" s="11">
        <v>12.43</v>
      </c>
      <c r="M6" s="3"/>
      <c r="N6" s="6" t="s">
        <v>93</v>
      </c>
      <c r="O6" s="3"/>
      <c r="P6" s="3"/>
      <c r="Q6" s="3"/>
      <c r="R6" s="10">
        <f>IFERROR(__xludf.DUMMYFUNCTION("IMPORTRANGE(""1Oll_sAr-jpBfzl7ZdroBBuuM-sHhVKRxyQNEl9IyQIU"",""susut!D10:O10"")"),7.6240000006702)</f>
        <v>7.624000001</v>
      </c>
      <c r="S6" s="13">
        <f>IFERROR(__xludf.DUMMYFUNCTION("""COMPUTED_VALUE"""),7.59999999973262)</f>
        <v>7.6</v>
      </c>
      <c r="T6" s="10">
        <f>IFERROR(__xludf.DUMMYFUNCTION("""COMPUTED_VALUE"""),7.57599999989712)</f>
        <v>7.576</v>
      </c>
      <c r="U6" s="10">
        <f>IFERROR(__xludf.DUMMYFUNCTION("""COMPUTED_VALUE"""),7.56600000067161)</f>
        <v>7.566000001</v>
      </c>
      <c r="V6" s="10">
        <f>IFERROR(__xludf.DUMMYFUNCTION("""COMPUTED_VALUE"""),7.55799999945892)</f>
        <v>7.557999999</v>
      </c>
      <c r="W6" s="10">
        <f>IFERROR(__xludf.DUMMYFUNCTION("""COMPUTED_VALUE"""),7.5520000002468)</f>
        <v>7.552</v>
      </c>
      <c r="X6" s="10">
        <f>IFERROR(__xludf.DUMMYFUNCTION("""COMPUTED_VALUE"""),7.53499999993598)</f>
        <v>7.535</v>
      </c>
      <c r="Y6" s="10">
        <f>IFERROR(__xludf.DUMMYFUNCTION("""COMPUTED_VALUE"""),7.51800000022889)</f>
        <v>7.518</v>
      </c>
      <c r="Z6" s="10">
        <f>IFERROR(__xludf.DUMMYFUNCTION("""COMPUTED_VALUE"""),7.50100000175576)</f>
        <v>7.501000002</v>
      </c>
      <c r="AA6" s="10">
        <f>IFERROR(__xludf.DUMMYFUNCTION("""COMPUTED_VALUE"""),7.48399999858)</f>
        <v>7.483999999</v>
      </c>
      <c r="AB6" s="10">
        <f>IFERROR(__xludf.DUMMYFUNCTION("""COMPUTED_VALUE"""),7.46700000291138)</f>
        <v>7.467000003</v>
      </c>
      <c r="AC6" s="10">
        <f>IFERROR(__xludf.DUMMYFUNCTION("""COMPUTED_VALUE"""),7.44999999789784)</f>
        <v>7.449999998</v>
      </c>
      <c r="AD6" s="3"/>
      <c r="AE6" s="10">
        <f>IFERROR(__xludf.DUMMYFUNCTION("IMPORTRANGE(""1e7--NjE9N54w7uxIeTVQ2x149gW2CjGTf8gPedLtEqw"",""UP3!AE6:AP6"")"),6.69)</f>
        <v>6.69</v>
      </c>
      <c r="AF6" s="12">
        <f>IFERROR(__xludf.DUMMYFUNCTION("""COMPUTED_VALUE"""),6.65)</f>
        <v>6.65</v>
      </c>
      <c r="AG6" s="12">
        <f>IFERROR(__xludf.DUMMYFUNCTION("""COMPUTED_VALUE"""),7.07)</f>
        <v>7.07</v>
      </c>
      <c r="AH6" s="12">
        <f>IFERROR(__xludf.DUMMYFUNCTION("""COMPUTED_VALUE"""),7.41)</f>
        <v>7.41</v>
      </c>
      <c r="AI6" s="12">
        <f>IFERROR(__xludf.DUMMYFUNCTION("""COMPUTED_VALUE"""),7.43)</f>
        <v>7.43</v>
      </c>
      <c r="AJ6" s="12">
        <f>IFERROR(__xludf.DUMMYFUNCTION("""COMPUTED_VALUE"""),7.28)</f>
        <v>7.28</v>
      </c>
      <c r="AK6" s="3"/>
      <c r="AL6" s="3"/>
      <c r="AM6" s="3"/>
      <c r="AN6" s="3"/>
      <c r="AO6" s="3"/>
      <c r="AP6" s="3"/>
      <c r="AQ6" s="3"/>
      <c r="AR6" s="9">
        <v>110.0</v>
      </c>
      <c r="AS6" s="9">
        <v>110.0</v>
      </c>
      <c r="AT6" s="10">
        <v>1.066789863E9</v>
      </c>
      <c r="AU6" s="10">
        <v>1.020618557E9</v>
      </c>
      <c r="AV6" s="10">
        <v>1.016935697E9</v>
      </c>
      <c r="AW6" s="10">
        <v>1.036016949E9</v>
      </c>
      <c r="AX6" s="9">
        <v>110.0</v>
      </c>
      <c r="AY6" s="9">
        <v>110.0</v>
      </c>
      <c r="AZ6" s="9">
        <v>110.0</v>
      </c>
      <c r="BA6" s="9">
        <v>110.0</v>
      </c>
      <c r="BB6" s="9">
        <v>110.0</v>
      </c>
      <c r="BC6" s="9">
        <v>110.0</v>
      </c>
      <c r="BD6" s="3"/>
      <c r="BE6" s="9" t="s">
        <v>100</v>
      </c>
      <c r="BF6" s="9" t="s">
        <v>100</v>
      </c>
      <c r="BG6" s="10">
        <v>1.280147835E9</v>
      </c>
      <c r="BH6" s="10">
        <v>1.224742268E9</v>
      </c>
    </row>
    <row r="7">
      <c r="A7" s="9">
        <v>3.0</v>
      </c>
      <c r="B7" s="6" t="s">
        <v>49</v>
      </c>
      <c r="C7" s="3"/>
      <c r="D7" s="3"/>
      <c r="E7" s="3"/>
      <c r="F7" s="9">
        <v>12.0</v>
      </c>
      <c r="G7" s="3"/>
      <c r="H7" s="3"/>
      <c r="I7" s="14"/>
      <c r="J7" s="14"/>
      <c r="K7" s="14"/>
      <c r="L7" s="11">
        <v>13.2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0" t="str">
        <f>IFERROR(__xludf.DUMMYFUNCTION("IMPORTRANGE(""1e7--NjE9N54w7uxIeTVQ2x149gW2CjGTf8gPedLtEqw"",""UP3!AE7:AP7"")"),"")</f>
        <v/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9" t="s">
        <v>100</v>
      </c>
      <c r="BF7" s="9" t="s">
        <v>100</v>
      </c>
      <c r="BG7" s="10">
        <v>1.216567345E9</v>
      </c>
      <c r="BH7" s="10">
        <v>1.22173922E8</v>
      </c>
    </row>
    <row r="8">
      <c r="A8" s="3"/>
      <c r="B8" s="6" t="s">
        <v>51</v>
      </c>
      <c r="C8" s="9">
        <v>1.0</v>
      </c>
      <c r="D8" s="6" t="s">
        <v>105</v>
      </c>
      <c r="E8" s="6" t="s">
        <v>106</v>
      </c>
      <c r="F8" s="9">
        <v>5.0</v>
      </c>
      <c r="G8" s="10">
        <v>2.581242502E9</v>
      </c>
      <c r="H8" s="10">
        <v>5.161917512E9</v>
      </c>
      <c r="I8" s="11">
        <v>25.81</v>
      </c>
      <c r="J8" s="11">
        <v>22.72</v>
      </c>
      <c r="K8" s="11">
        <v>110.0</v>
      </c>
      <c r="L8" s="11">
        <v>5.5</v>
      </c>
      <c r="M8" s="3"/>
      <c r="N8" s="6" t="s">
        <v>93</v>
      </c>
      <c r="O8" s="3"/>
      <c r="P8" s="3"/>
      <c r="Q8" s="3"/>
      <c r="R8" s="10">
        <f>IFERROR(__xludf.DUMMYFUNCTION("IMPORTRANGE(""1Oll_sAr-jpBfzl7ZdroBBuuM-sHhVKRxyQNEl9IyQIU"",""saidi!D10:O10"")"),4.44440076814626)</f>
        <v>4.444400768</v>
      </c>
      <c r="S8" s="10">
        <f>IFERROR(__xludf.DUMMYFUNCTION("""COMPUTED_VALUE"""),8.45871151438926)</f>
        <v>8.458711514</v>
      </c>
      <c r="T8" s="10">
        <f>IFERROR(__xludf.DUMMYFUNCTION("""COMPUTED_VALUE"""),12.9031280933249)</f>
        <v>12.90312809</v>
      </c>
      <c r="U8" s="10">
        <f>IFERROR(__xludf.DUMMYFUNCTION("""COMPUTED_VALUE"""),17.1131512182644)</f>
        <v>17.11315122</v>
      </c>
      <c r="V8" s="10">
        <f>IFERROR(__xludf.DUMMYFUNCTION("""COMPUTED_VALUE"""),21.5340682584472)</f>
        <v>21.53406826</v>
      </c>
      <c r="W8" s="10">
        <f>IFERROR(__xludf.DUMMYFUNCTION("""COMPUTED_VALUE"""),25.8124250180572)</f>
        <v>25.81242502</v>
      </c>
      <c r="X8" s="10">
        <f>IFERROR(__xludf.DUMMYFUNCTION("""COMPUTED_VALUE"""),30.0601947980339)</f>
        <v>30.0601948</v>
      </c>
      <c r="Y8" s="10">
        <f>IFERROR(__xludf.DUMMYFUNCTION("""COMPUTED_VALUE"""),34.4558684441702)</f>
        <v>34.45586844</v>
      </c>
      <c r="Z8" s="10">
        <f>IFERROR(__xludf.DUMMYFUNCTION("""COMPUTED_VALUE"""),38.7097565555742)</f>
        <v>38.70975656</v>
      </c>
      <c r="AA8" s="10">
        <f>IFERROR(__xludf.DUMMYFUNCTION("""COMPUTED_VALUE"""),42.9923875298869)</f>
        <v>42.99238753</v>
      </c>
      <c r="AB8" s="10">
        <f>IFERROR(__xludf.DUMMYFUNCTION("""COMPUTED_VALUE"""),47.2350979008506)</f>
        <v>47.2350979</v>
      </c>
      <c r="AC8" s="10">
        <f>IFERROR(__xludf.DUMMYFUNCTION("""COMPUTED_VALUE"""),51.6191751163213)</f>
        <v>51.61917512</v>
      </c>
      <c r="AD8" s="3"/>
      <c r="AE8" s="10">
        <f>IFERROR(__xludf.DUMMYFUNCTION("IMPORTRANGE(""1e7--NjE9N54w7uxIeTVQ2x149gW2CjGTf8gPedLtEqw"",""UP3!AE8:AP8"")"),2.6091313877998967)</f>
        <v>2.609131388</v>
      </c>
      <c r="AF8" s="10">
        <f>IFERROR(__xludf.DUMMYFUNCTION("""COMPUTED_VALUE"""),6.243491903679856)</f>
        <v>6.243491904</v>
      </c>
      <c r="AG8" s="10">
        <f>IFERROR(__xludf.DUMMYFUNCTION("""COMPUTED_VALUE"""),12.710598770753956)</f>
        <v>12.71059877</v>
      </c>
      <c r="AH8" s="10">
        <f>IFERROR(__xludf.DUMMYFUNCTION("""COMPUTED_VALUE"""),16.767901860916787)</f>
        <v>16.76790186</v>
      </c>
      <c r="AI8" s="10">
        <f>IFERROR(__xludf.DUMMYFUNCTION("""COMPUTED_VALUE"""),21.377904225352115)</f>
        <v>21.37790423</v>
      </c>
      <c r="AJ8" s="10">
        <f>IFERROR(__xludf.DUMMYFUNCTION("""COMPUTED_VALUE"""),22.718048284745283)</f>
        <v>22.71804828</v>
      </c>
      <c r="AK8" s="10">
        <f>IFERROR(__xludf.DUMMYFUNCTION("""COMPUTED_VALUE"""),32.47007432967397)</f>
        <v>32.47007433</v>
      </c>
      <c r="AL8" s="3"/>
      <c r="AM8" s="3"/>
      <c r="AN8" s="3"/>
      <c r="AO8" s="3"/>
      <c r="AP8" s="3"/>
      <c r="AQ8" s="3"/>
      <c r="AR8" s="9">
        <v>110.0</v>
      </c>
      <c r="AS8" s="9">
        <v>110.0</v>
      </c>
      <c r="AT8" s="10">
        <v>1.014921135E9</v>
      </c>
      <c r="AU8" s="10">
        <v>1.020174505E9</v>
      </c>
      <c r="AV8" s="10">
        <v>1.007251952E9</v>
      </c>
      <c r="AW8" s="9">
        <v>110.0</v>
      </c>
      <c r="AX8" s="9">
        <v>110.0</v>
      </c>
      <c r="AY8" s="9">
        <v>110.0</v>
      </c>
      <c r="AZ8" s="9">
        <v>110.0</v>
      </c>
      <c r="BA8" s="9">
        <v>110.0</v>
      </c>
      <c r="BB8" s="9">
        <v>110.0</v>
      </c>
      <c r="BC8" s="9">
        <v>110.0</v>
      </c>
      <c r="BD8" s="3"/>
      <c r="BE8" s="9" t="s">
        <v>114</v>
      </c>
      <c r="BF8" s="9" t="s">
        <v>114</v>
      </c>
      <c r="BG8" s="10">
        <v>5.074605677E9</v>
      </c>
      <c r="BH8" s="10">
        <v>5.100872526E9</v>
      </c>
    </row>
    <row r="9">
      <c r="A9" s="3"/>
      <c r="B9" s="6" t="s">
        <v>53</v>
      </c>
      <c r="C9" s="9">
        <v>1.0</v>
      </c>
      <c r="D9" s="6" t="s">
        <v>115</v>
      </c>
      <c r="E9" s="6" t="s">
        <v>116</v>
      </c>
      <c r="F9" s="9">
        <v>5.0</v>
      </c>
      <c r="G9" s="10">
        <v>4.55198985E8</v>
      </c>
      <c r="H9" s="10">
        <v>9.10296829E8</v>
      </c>
      <c r="I9" s="11">
        <v>0.46</v>
      </c>
      <c r="J9" s="11">
        <v>0.4</v>
      </c>
      <c r="K9" s="11">
        <v>110.0</v>
      </c>
      <c r="L9" s="11">
        <v>5.5</v>
      </c>
      <c r="M9" s="3"/>
      <c r="N9" s="6" t="s">
        <v>93</v>
      </c>
      <c r="O9" s="3"/>
      <c r="P9" s="3"/>
      <c r="Q9" s="3"/>
      <c r="R9" s="10">
        <f>IFERROR(__xludf.DUMMYFUNCTION("IMPORTRANGE(""1Oll_sAr-jpBfzl7ZdroBBuuM-sHhVKRxyQNEl9IyQIU"",""saifi!D10:O10"")"),0.0783765332514403)</f>
        <v>0.07837653325</v>
      </c>
      <c r="S9" s="10">
        <f>IFERROR(__xludf.DUMMYFUNCTION("""COMPUTED_VALUE"""),0.149168456077995)</f>
        <v>0.1491684561</v>
      </c>
      <c r="T9" s="10">
        <f>IFERROR(__xludf.DUMMYFUNCTION("""COMPUTED_VALUE"""),0.227545234678016)</f>
        <v>0.2275452347</v>
      </c>
      <c r="U9" s="10">
        <f>IFERROR(__xludf.DUMMYFUNCTION("""COMPUTED_VALUE"""),0.301788493111571)</f>
        <v>0.3017884931</v>
      </c>
      <c r="V9" s="10">
        <f>IFERROR(__xludf.DUMMYFUNCTION("""COMPUTED_VALUE"""),0.379750788521852)</f>
        <v>0.3797507885</v>
      </c>
      <c r="W9" s="10">
        <f>IFERROR(__xludf.DUMMYFUNCTION("""COMPUTED_VALUE"""),0.455198984847707)</f>
        <v>0.4551989848</v>
      </c>
      <c r="X9" s="10">
        <f>IFERROR(__xludf.DUMMYFUNCTION("""COMPUTED_VALUE"""),0.530107737570105)</f>
        <v>0.5301077376</v>
      </c>
      <c r="Y9" s="10">
        <f>IFERROR(__xludf.DUMMYFUNCTION("""COMPUTED_VALUE"""),0.607624768837417)</f>
        <v>0.6076247688</v>
      </c>
      <c r="Z9" s="10">
        <f>IFERROR(__xludf.DUMMYFUNCTION("""COMPUTED_VALUE"""),0.682641390651522)</f>
        <v>0.6826413907</v>
      </c>
      <c r="AA9" s="10">
        <f>IFERROR(__xludf.DUMMYFUNCTION("""COMPUTED_VALUE"""),0.758164716581671)</f>
        <v>0.7581647166</v>
      </c>
      <c r="AB9" s="10">
        <f>IFERROR(__xludf.DUMMYFUNCTION("""COMPUTED_VALUE"""),0.832984238591717)</f>
        <v>0.8329842386</v>
      </c>
      <c r="AC9" s="10">
        <f>IFERROR(__xludf.DUMMYFUNCTION("""COMPUTED_VALUE"""),0.910296829207443)</f>
        <v>0.9102968292</v>
      </c>
      <c r="AD9" s="3"/>
      <c r="AE9" s="10">
        <f>IFERROR(__xludf.DUMMYFUNCTION("IMPORTRANGE(""1e7--NjE9N54w7uxIeTVQ2x149gW2CjGTf8gPedLtEqw"",""UP3!AE9:AP9"")"),0.059751540288730004)</f>
        <v>0.05975154029</v>
      </c>
      <c r="AF9" s="10">
        <f>IFERROR(__xludf.DUMMYFUNCTION("""COMPUTED_VALUE"""),0.12858305443576468)</f>
        <v>0.1285830544</v>
      </c>
      <c r="AG9" s="10">
        <f>IFERROR(__xludf.DUMMYFUNCTION("""COMPUTED_VALUE"""),0.22358153985514445)</f>
        <v>0.2235815399</v>
      </c>
      <c r="AH9" s="10">
        <f>IFERROR(__xludf.DUMMYFUNCTION("""COMPUTED_VALUE"""),0.2974741869636735)</f>
        <v>0.297474187</v>
      </c>
      <c r="AI9" s="10">
        <f>IFERROR(__xludf.DUMMYFUNCTION("""COMPUTED_VALUE"""),0.37727699530516434)</f>
        <v>0.3772769953</v>
      </c>
      <c r="AJ9" s="10">
        <f>IFERROR(__xludf.DUMMYFUNCTION("""COMPUTED_VALUE"""),0.40099322879122695)</f>
        <v>0.4009932288</v>
      </c>
      <c r="AK9" s="10">
        <f>IFERROR(__xludf.DUMMYFUNCTION("""COMPUTED_VALUE"""),0.5327806861018872)</f>
        <v>0.5327806861</v>
      </c>
      <c r="AL9" s="3"/>
      <c r="AM9" s="3"/>
      <c r="AN9" s="3"/>
      <c r="AO9" s="3"/>
      <c r="AP9" s="3"/>
      <c r="AQ9" s="3"/>
      <c r="AR9" s="9">
        <v>110.0</v>
      </c>
      <c r="AS9" s="9">
        <v>110.0</v>
      </c>
      <c r="AT9" s="10">
        <v>1.017419371E9</v>
      </c>
      <c r="AU9" s="10">
        <v>1.014295794E9</v>
      </c>
      <c r="AV9" s="10">
        <v>1.006514254E9</v>
      </c>
      <c r="AW9" s="9">
        <v>110.0</v>
      </c>
      <c r="AX9" s="9">
        <v>110.0</v>
      </c>
      <c r="AY9" s="9">
        <v>110.0</v>
      </c>
      <c r="AZ9" s="9">
        <v>110.0</v>
      </c>
      <c r="BA9" s="9">
        <v>110.0</v>
      </c>
      <c r="BB9" s="9">
        <v>110.0</v>
      </c>
      <c r="BC9" s="9">
        <v>110.0</v>
      </c>
      <c r="BD9" s="3"/>
      <c r="BE9" s="9" t="s">
        <v>114</v>
      </c>
      <c r="BF9" s="9" t="s">
        <v>114</v>
      </c>
      <c r="BG9" s="10">
        <v>5.087096854E9</v>
      </c>
      <c r="BH9" s="10">
        <v>5.07147897E8</v>
      </c>
    </row>
    <row r="10">
      <c r="A10" s="3"/>
      <c r="B10" s="6" t="s">
        <v>55</v>
      </c>
      <c r="C10" s="9">
        <v>1.0</v>
      </c>
      <c r="D10" s="6" t="s">
        <v>121</v>
      </c>
      <c r="E10" s="6" t="s">
        <v>122</v>
      </c>
      <c r="F10" s="9">
        <v>2.0</v>
      </c>
      <c r="G10" s="10">
        <v>7.554476972E9</v>
      </c>
      <c r="H10" s="10">
        <v>1.510718433E9</v>
      </c>
      <c r="I10" s="11">
        <v>75.54</v>
      </c>
      <c r="J10" s="11">
        <v>65.81</v>
      </c>
      <c r="K10" s="11">
        <v>110.0</v>
      </c>
      <c r="L10" s="11">
        <v>2.2</v>
      </c>
      <c r="M10" s="3"/>
      <c r="N10" s="6" t="s">
        <v>93</v>
      </c>
      <c r="O10" s="3"/>
      <c r="P10" s="3"/>
      <c r="Q10" s="3"/>
      <c r="R10" s="10">
        <f>IFERROR(__xludf.DUMMYFUNCTION("IMPORTRANGE(""1Oll_sAr-jpBfzl7ZdroBBuuM-sHhVKRxyQNEl9IyQIU"",""ens!D10:O10"")"),8.82535447866108)</f>
        <v>8.825354479</v>
      </c>
      <c r="S10" s="10">
        <f>IFERROR(__xludf.DUMMYFUNCTION("""COMPUTED_VALUE"""),16.7966423948711)</f>
        <v>16.79664239</v>
      </c>
      <c r="T10" s="10">
        <f>IFERROR(__xludf.DUMMYFUNCTION("""COMPUTED_VALUE"""),26.875359955569)</f>
        <v>26.87535996</v>
      </c>
      <c r="U10" s="10">
        <f>IFERROR(__xludf.DUMMYFUNCTION("""COMPUTED_VALUE"""),50.0849302001134)</f>
        <v>50.0849302</v>
      </c>
      <c r="V10" s="10">
        <f>IFERROR(__xludf.DUMMYFUNCTION("""COMPUTED_VALUE"""),63.0235371684761)</f>
        <v>63.02353717</v>
      </c>
      <c r="W10" s="10">
        <f>IFERROR(__xludf.DUMMYFUNCTION("""COMPUTED_VALUE"""),75.5447697185045)</f>
        <v>75.54476972</v>
      </c>
      <c r="X10" s="10">
        <f>IFERROR(__xludf.DUMMYFUNCTION("""COMPUTED_VALUE"""),87.9765912155076)</f>
        <v>87.97659122</v>
      </c>
      <c r="Y10" s="10">
        <f>IFERROR(__xludf.DUMMYFUNCTION("""COMPUTED_VALUE"""),100.841092761171)</f>
        <v>100.8410928</v>
      </c>
      <c r="Z10" s="10">
        <f>IFERROR(__xludf.DUMMYFUNCTION("""COMPUTED_VALUE"""),113.290610386007)</f>
        <v>113.2906104</v>
      </c>
      <c r="AA10" s="10">
        <f>IFERROR(__xludf.DUMMYFUNCTION("""COMPUTED_VALUE"""),125.824220180793)</f>
        <v>125.8242202</v>
      </c>
      <c r="AB10" s="10">
        <f>IFERROR(__xludf.DUMMYFUNCTION("""COMPUTED_VALUE"""),138.241084014424)</f>
        <v>138.241084</v>
      </c>
      <c r="AC10" s="10">
        <f>IFERROR(__xludf.DUMMYFUNCTION("""COMPUTED_VALUE"""),151.071843309176)</f>
        <v>151.0718433</v>
      </c>
      <c r="AD10" s="3"/>
      <c r="AE10" s="10">
        <f>IFERROR(__xludf.DUMMYFUNCTION("IMPORTRANGE(""1e7--NjE9N54w7uxIeTVQ2x149gW2CjGTf8gPedLtEqw"",""UP3!AE10:AP10"")"),4.84)</f>
        <v>4.84</v>
      </c>
      <c r="AF10" s="10">
        <f>IFERROR(__xludf.DUMMYFUNCTION("""COMPUTED_VALUE"""),12.937)</f>
        <v>12.937</v>
      </c>
      <c r="AG10" s="10">
        <f>IFERROR(__xludf.DUMMYFUNCTION("""COMPUTED_VALUE"""),26.822)</f>
        <v>26.822</v>
      </c>
      <c r="AH10" s="10">
        <f>IFERROR(__xludf.DUMMYFUNCTION("""COMPUTED_VALUE"""),48.956999999999994)</f>
        <v>48.957</v>
      </c>
      <c r="AI10" s="10">
        <f>IFERROR(__xludf.DUMMYFUNCTION("""COMPUTED_VALUE"""),62.66199999999999)</f>
        <v>62.662</v>
      </c>
      <c r="AJ10" s="10">
        <f>IFERROR(__xludf.DUMMYFUNCTION("""COMPUTED_VALUE"""),65.81099999999999)</f>
        <v>65.811</v>
      </c>
      <c r="AK10" s="10">
        <f>IFERROR(__xludf.DUMMYFUNCTION("""COMPUTED_VALUE"""),84.666)</f>
        <v>84.666</v>
      </c>
      <c r="AL10" s="3"/>
      <c r="AM10" s="3"/>
      <c r="AN10" s="3"/>
      <c r="AO10" s="3"/>
      <c r="AP10" s="3"/>
      <c r="AQ10" s="3"/>
      <c r="AR10" s="9">
        <v>110.0</v>
      </c>
      <c r="AS10" s="9">
        <v>110.0</v>
      </c>
      <c r="AT10" s="10">
        <v>1.00198546E8</v>
      </c>
      <c r="AU10" s="10">
        <v>1.022520351E9</v>
      </c>
      <c r="AV10" s="10">
        <v>1.005736542E9</v>
      </c>
      <c r="AW10" s="9">
        <v>110.0</v>
      </c>
      <c r="AX10" s="9">
        <v>110.0</v>
      </c>
      <c r="AY10" s="9">
        <v>110.0</v>
      </c>
      <c r="AZ10" s="9">
        <v>110.0</v>
      </c>
      <c r="BA10" s="9">
        <v>110.0</v>
      </c>
      <c r="BB10" s="9">
        <v>110.0</v>
      </c>
      <c r="BC10" s="9">
        <v>110.0</v>
      </c>
      <c r="BD10" s="3"/>
      <c r="BE10" s="9" t="s">
        <v>123</v>
      </c>
      <c r="BF10" s="9" t="s">
        <v>123</v>
      </c>
      <c r="BG10" s="10">
        <v>2.00397092E8</v>
      </c>
      <c r="BH10" s="10">
        <v>2.045040702E9</v>
      </c>
    </row>
    <row r="11">
      <c r="A11" s="9">
        <v>4.0</v>
      </c>
      <c r="B11" s="6" t="s">
        <v>62</v>
      </c>
      <c r="C11" s="3"/>
      <c r="D11" s="3"/>
      <c r="E11" s="3"/>
      <c r="F11" s="9">
        <v>10.0</v>
      </c>
      <c r="G11" s="3"/>
      <c r="H11" s="3"/>
      <c r="I11" s="14"/>
      <c r="J11" s="14"/>
      <c r="K11" s="14"/>
      <c r="L11" s="11">
        <v>10.75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0" t="str">
        <f>IFERROR(__xludf.DUMMYFUNCTION("IMPORTRANGE(""1e7--NjE9N54w7uxIeTVQ2x149gW2CjGTf8gPedLtEqw"",""UP3!AE11:AP11"")"),"")</f>
        <v/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9">
        <v>10.0</v>
      </c>
      <c r="BF11" s="9">
        <v>10.0</v>
      </c>
      <c r="BG11" s="9">
        <v>10.0</v>
      </c>
      <c r="BH11" s="9">
        <v>10.0</v>
      </c>
    </row>
    <row r="12">
      <c r="A12" s="3"/>
      <c r="B12" s="6" t="s">
        <v>64</v>
      </c>
      <c r="C12" s="9">
        <v>3.0</v>
      </c>
      <c r="D12" s="6" t="s">
        <v>124</v>
      </c>
      <c r="E12" s="6" t="s">
        <v>91</v>
      </c>
      <c r="F12" s="9">
        <v>5.0</v>
      </c>
      <c r="G12" s="9">
        <v>100.0</v>
      </c>
      <c r="H12" s="9">
        <v>100.0</v>
      </c>
      <c r="I12" s="11">
        <v>100.0</v>
      </c>
      <c r="J12" s="11">
        <v>110.0</v>
      </c>
      <c r="K12" s="11">
        <v>110.0</v>
      </c>
      <c r="L12" s="11">
        <v>5.5</v>
      </c>
      <c r="M12" s="3"/>
      <c r="N12" s="6" t="s">
        <v>93</v>
      </c>
      <c r="O12" s="3"/>
      <c r="P12" s="3"/>
      <c r="Q12" s="3"/>
      <c r="R12" s="16">
        <f>IFERROR(__xludf.DUMMYFUNCTION("IMPORTRANGE(""1Oll_sAr-jpBfzl7ZdroBBuuM-sHhVKRxyQNEl9IyQIU"",""up3!J18:U18"")"),100.0)</f>
        <v>100</v>
      </c>
      <c r="S12" s="16">
        <f>IFERROR(__xludf.DUMMYFUNCTION("""COMPUTED_VALUE"""),100.0)</f>
        <v>100</v>
      </c>
      <c r="T12" s="16">
        <f>IFERROR(__xludf.DUMMYFUNCTION("""COMPUTED_VALUE"""),100.0)</f>
        <v>100</v>
      </c>
      <c r="U12" s="16">
        <f>IFERROR(__xludf.DUMMYFUNCTION("""COMPUTED_VALUE"""),100.0)</f>
        <v>100</v>
      </c>
      <c r="V12" s="16">
        <f>IFERROR(__xludf.DUMMYFUNCTION("""COMPUTED_VALUE"""),100.0)</f>
        <v>100</v>
      </c>
      <c r="W12" s="16">
        <f>IFERROR(__xludf.DUMMYFUNCTION("""COMPUTED_VALUE"""),100.0)</f>
        <v>100</v>
      </c>
      <c r="X12" s="16">
        <f>IFERROR(__xludf.DUMMYFUNCTION("""COMPUTED_VALUE"""),100.0)</f>
        <v>100</v>
      </c>
      <c r="Y12" s="16">
        <f>IFERROR(__xludf.DUMMYFUNCTION("""COMPUTED_VALUE"""),100.0)</f>
        <v>100</v>
      </c>
      <c r="Z12" s="16">
        <f>IFERROR(__xludf.DUMMYFUNCTION("""COMPUTED_VALUE"""),100.0)</f>
        <v>100</v>
      </c>
      <c r="AA12" s="16">
        <f>IFERROR(__xludf.DUMMYFUNCTION("""COMPUTED_VALUE"""),100.0)</f>
        <v>100</v>
      </c>
      <c r="AB12" s="16">
        <f>IFERROR(__xludf.DUMMYFUNCTION("""COMPUTED_VALUE"""),100.0)</f>
        <v>100</v>
      </c>
      <c r="AC12" s="16">
        <f>IFERROR(__xludf.DUMMYFUNCTION("""COMPUTED_VALUE"""),100.0)</f>
        <v>100</v>
      </c>
      <c r="AD12" s="3"/>
      <c r="AE12" s="10">
        <f>IFERROR(__xludf.DUMMYFUNCTION("IMPORTRANGE(""1e7--NjE9N54w7uxIeTVQ2x149gW2CjGTf8gPedLtEqw"",""UP3!AE12:AP12"")"),100.0)</f>
        <v>100</v>
      </c>
      <c r="AF12" s="17">
        <f>IFERROR(__xludf.DUMMYFUNCTION("""COMPUTED_VALUE"""),100.0)</f>
        <v>100</v>
      </c>
      <c r="AG12" s="17">
        <f>IFERROR(__xludf.DUMMYFUNCTION("""COMPUTED_VALUE"""),100.0)</f>
        <v>100</v>
      </c>
      <c r="AH12" s="17">
        <f>IFERROR(__xludf.DUMMYFUNCTION("""COMPUTED_VALUE"""),100.0)</f>
        <v>100</v>
      </c>
      <c r="AI12" s="17">
        <f>IFERROR(__xludf.DUMMYFUNCTION("""COMPUTED_VALUE"""),110.0)</f>
        <v>110</v>
      </c>
      <c r="AJ12" s="17">
        <f>IFERROR(__xludf.DUMMYFUNCTION("""COMPUTED_VALUE"""),110.0)</f>
        <v>110</v>
      </c>
      <c r="AK12" s="17">
        <f>IFERROR(__xludf.DUMMYFUNCTION("""COMPUTED_VALUE"""),0.0)</f>
        <v>0</v>
      </c>
      <c r="AL12" s="17">
        <f>IFERROR(__xludf.DUMMYFUNCTION("""COMPUTED_VALUE"""),0.0)</f>
        <v>0</v>
      </c>
      <c r="AM12" s="17">
        <f>IFERROR(__xludf.DUMMYFUNCTION("""COMPUTED_VALUE"""),0.0)</f>
        <v>0</v>
      </c>
      <c r="AN12" s="17">
        <f>IFERROR(__xludf.DUMMYFUNCTION("""COMPUTED_VALUE"""),0.0)</f>
        <v>0</v>
      </c>
      <c r="AO12" s="17">
        <f>IFERROR(__xludf.DUMMYFUNCTION("""COMPUTED_VALUE"""),0.0)</f>
        <v>0</v>
      </c>
      <c r="AP12" s="17">
        <f>IFERROR(__xludf.DUMMYFUNCTION("""COMPUTED_VALUE"""),0.0)</f>
        <v>0</v>
      </c>
      <c r="AQ12" s="3"/>
      <c r="AR12" s="9">
        <v>100.0</v>
      </c>
      <c r="AS12" s="9">
        <v>100.0</v>
      </c>
      <c r="AT12" s="9">
        <v>100.0</v>
      </c>
      <c r="AU12" s="9">
        <v>100.0</v>
      </c>
      <c r="AV12" s="9">
        <v>110.0</v>
      </c>
      <c r="AW12" s="9">
        <v>110.0</v>
      </c>
      <c r="AX12" s="9">
        <v>0.0</v>
      </c>
      <c r="AY12" s="9">
        <v>0.0</v>
      </c>
      <c r="AZ12" s="9">
        <v>0.0</v>
      </c>
      <c r="BA12" s="9">
        <v>0.0</v>
      </c>
      <c r="BB12" s="9">
        <v>0.0</v>
      </c>
      <c r="BC12" s="9">
        <v>0.0</v>
      </c>
      <c r="BD12" s="3"/>
      <c r="BE12" s="9">
        <v>5.0</v>
      </c>
      <c r="BF12" s="9">
        <v>5.0</v>
      </c>
      <c r="BG12" s="9">
        <v>5.0</v>
      </c>
      <c r="BH12" s="9">
        <v>5.0</v>
      </c>
    </row>
    <row r="13">
      <c r="A13" s="3"/>
      <c r="B13" s="6" t="s">
        <v>70</v>
      </c>
      <c r="C13" s="3"/>
      <c r="E13" s="3"/>
      <c r="F13" s="3"/>
      <c r="G13" s="10">
        <v>1.792174868E9</v>
      </c>
      <c r="H13" s="10">
        <v>5.116567977E9</v>
      </c>
      <c r="I13" s="11">
        <v>17.92</v>
      </c>
      <c r="J13" s="11">
        <v>43.491</v>
      </c>
      <c r="K13" s="11">
        <v>110.0</v>
      </c>
      <c r="L13" s="14"/>
      <c r="M13" s="3"/>
      <c r="N13" s="3"/>
      <c r="O13" s="3"/>
      <c r="P13" s="3"/>
      <c r="Q13" s="3"/>
      <c r="R13" s="12">
        <f>IFERROR(__xludf.DUMMYFUNCTION("IMPORTRANGE(""1Oll_sAr-jpBfzl7ZdroBBuuM-sHhVKRxyQNEl9IyQIU"",""delta aset!D10:O10"")"),0.0)</f>
        <v>0</v>
      </c>
      <c r="S13" s="12">
        <f>IFERROR(__xludf.DUMMYFUNCTION("""COMPUTED_VALUE"""),0.0)</f>
        <v>0</v>
      </c>
      <c r="T13" s="12">
        <f>IFERROR(__xludf.DUMMYFUNCTION("""COMPUTED_VALUE"""),0.0)</f>
        <v>0</v>
      </c>
      <c r="U13" s="10">
        <f>IFERROR(__xludf.DUMMYFUNCTION("""COMPUTED_VALUE"""),5.116755199)</f>
        <v>5.116755199</v>
      </c>
      <c r="V13" s="10">
        <f>IFERROR(__xludf.DUMMYFUNCTION("""COMPUTED_VALUE"""),7.675132798)</f>
        <v>7.675132798</v>
      </c>
      <c r="W13" s="10">
        <f>IFERROR(__xludf.DUMMYFUNCTION("""COMPUTED_VALUE"""),17.92174868)</f>
        <v>17.92174868</v>
      </c>
      <c r="X13" s="10">
        <f>IFERROR(__xludf.DUMMYFUNCTION("""COMPUTED_VALUE"""),18.93180701)</f>
        <v>18.93180701</v>
      </c>
      <c r="Y13" s="10">
        <f>IFERROR(__xludf.DUMMYFUNCTION("""COMPUTED_VALUE"""),19.95497083)</f>
        <v>19.95497083</v>
      </c>
      <c r="Z13" s="10">
        <f>IFERROR(__xludf.DUMMYFUNCTION("""COMPUTED_VALUE"""),22.51334843)</f>
        <v>22.51334843</v>
      </c>
      <c r="AA13" s="10">
        <f>IFERROR(__xludf.DUMMYFUNCTION("""COMPUTED_VALUE"""),27.11805367)</f>
        <v>27.11805367</v>
      </c>
      <c r="AB13" s="10">
        <f>IFERROR(__xludf.DUMMYFUNCTION("""COMPUTED_VALUE"""),35.81635028)</f>
        <v>35.81635028</v>
      </c>
      <c r="AC13" s="10">
        <f>IFERROR(__xludf.DUMMYFUNCTION("""COMPUTED_VALUE"""),51.16567977)</f>
        <v>51.16567977</v>
      </c>
      <c r="AD13" s="3"/>
      <c r="AE13" s="10">
        <f>IFERROR(__xludf.DUMMYFUNCTION("IMPORTRANGE(""1e7--NjE9N54w7uxIeTVQ2x149gW2CjGTf8gPedLtEqw"",""UP3!AE13:AP13"")"),0.0)</f>
        <v>0</v>
      </c>
      <c r="AF13" s="12">
        <f>IFERROR(__xludf.DUMMYFUNCTION("""COMPUTED_VALUE"""),0.0)</f>
        <v>0</v>
      </c>
      <c r="AG13" s="12">
        <f>IFERROR(__xludf.DUMMYFUNCTION("""COMPUTED_VALUE"""),0.0)</f>
        <v>0</v>
      </c>
      <c r="AH13" s="10">
        <f>IFERROR(__xludf.DUMMYFUNCTION("""COMPUTED_VALUE"""),5.116755199)</f>
        <v>5.116755199</v>
      </c>
      <c r="AI13" s="12">
        <f>IFERROR(__xludf.DUMMYFUNCTION("""COMPUTED_VALUE"""),38.25)</f>
        <v>38.25</v>
      </c>
      <c r="AJ13" s="10">
        <f>IFERROR(__xludf.DUMMYFUNCTION("""COMPUTED_VALUE"""),43.491)</f>
        <v>43.491</v>
      </c>
      <c r="AK13" s="3"/>
      <c r="AL13" s="3"/>
      <c r="AM13" s="3"/>
      <c r="AN13" s="3"/>
      <c r="AO13" s="3"/>
      <c r="AP13" s="3"/>
      <c r="AQ13" s="3"/>
      <c r="AR13" s="9">
        <v>100.0</v>
      </c>
      <c r="AS13" s="9">
        <v>100.0</v>
      </c>
      <c r="AT13" s="9">
        <v>100.0</v>
      </c>
      <c r="AU13" s="9">
        <v>100.0</v>
      </c>
      <c r="AV13" s="9">
        <v>110.0</v>
      </c>
      <c r="AW13" s="9">
        <v>110.0</v>
      </c>
      <c r="AX13" s="9">
        <v>0.0</v>
      </c>
      <c r="AY13" s="9">
        <v>0.0</v>
      </c>
      <c r="AZ13" s="9">
        <v>0.0</v>
      </c>
      <c r="BA13" s="9">
        <v>0.0</v>
      </c>
      <c r="BB13" s="9">
        <v>0.0</v>
      </c>
      <c r="BC13" s="9">
        <v>0.0</v>
      </c>
      <c r="BD13" s="3"/>
      <c r="BE13" s="3"/>
      <c r="BF13" s="3"/>
      <c r="BG13" s="3"/>
      <c r="BH13" s="3"/>
    </row>
    <row r="14">
      <c r="A14" s="3"/>
      <c r="B14" s="6" t="s">
        <v>73</v>
      </c>
      <c r="C14" s="3"/>
      <c r="E14" s="3"/>
      <c r="F14" s="3"/>
      <c r="G14" s="10">
        <v>49499.0</v>
      </c>
      <c r="H14" s="10">
        <v>141447.0</v>
      </c>
      <c r="I14" s="11">
        <v>49.5</v>
      </c>
      <c r="J14" s="11">
        <v>97.276</v>
      </c>
      <c r="K14" s="11">
        <v>110.0</v>
      </c>
      <c r="L14" s="14"/>
      <c r="M14" s="3"/>
      <c r="N14" s="3"/>
      <c r="O14" s="3"/>
      <c r="P14" s="3"/>
      <c r="Q14" s="3"/>
      <c r="R14" s="18">
        <f>IFERROR(__xludf.DUMMYFUNCTION("IMPORTRANGE(""1Oll_sAr-jpBfzl7ZdroBBuuM-sHhVKRxyQNEl9IyQIU"",""delta aset!D26:O26"")"),0.0)</f>
        <v>0</v>
      </c>
      <c r="S14" s="18">
        <f>IFERROR(__xludf.DUMMYFUNCTION("""COMPUTED_VALUE"""),0.0)</f>
        <v>0</v>
      </c>
      <c r="T14" s="18">
        <f>IFERROR(__xludf.DUMMYFUNCTION("""COMPUTED_VALUE"""),0.0)</f>
        <v>0</v>
      </c>
      <c r="U14" s="10">
        <f>IFERROR(__xludf.DUMMYFUNCTION("""COMPUTED_VALUE"""),14.145)</f>
        <v>14.145</v>
      </c>
      <c r="V14" s="10">
        <f>IFERROR(__xludf.DUMMYFUNCTION("""COMPUTED_VALUE"""),21.217)</f>
        <v>21.217</v>
      </c>
      <c r="W14" s="10">
        <f>IFERROR(__xludf.DUMMYFUNCTION("""COMPUTED_VALUE"""),49.499)</f>
        <v>49.499</v>
      </c>
      <c r="X14" s="10">
        <f>IFERROR(__xludf.DUMMYFUNCTION("""COMPUTED_VALUE"""),52.335)</f>
        <v>52.335</v>
      </c>
      <c r="Y14" s="10">
        <f>IFERROR(__xludf.DUMMYFUNCTION("""COMPUTED_VALUE"""),55.164)</f>
        <v>55.164</v>
      </c>
      <c r="Z14" s="10">
        <f>IFERROR(__xludf.DUMMYFUNCTION("""COMPUTED_VALUE"""),62.236)</f>
        <v>62.236</v>
      </c>
      <c r="AA14" s="10">
        <f>IFERROR(__xludf.DUMMYFUNCTION("""COMPUTED_VALUE"""),74.967)</f>
        <v>74.967</v>
      </c>
      <c r="AB14" s="10">
        <f>IFERROR(__xludf.DUMMYFUNCTION("""COMPUTED_VALUE"""),99.012)</f>
        <v>99.012</v>
      </c>
      <c r="AC14" s="10">
        <f>IFERROR(__xludf.DUMMYFUNCTION("""COMPUTED_VALUE"""),141.447)</f>
        <v>141.447</v>
      </c>
      <c r="AD14" s="3"/>
      <c r="AE14" s="10">
        <f>IFERROR(__xludf.DUMMYFUNCTION("IMPORTRANGE(""1e7--NjE9N54w7uxIeTVQ2x149gW2CjGTf8gPedLtEqw"",""UP3!AE14:AP14"")"),0.0)</f>
        <v>0</v>
      </c>
      <c r="AF14" s="12">
        <f>IFERROR(__xludf.DUMMYFUNCTION("""COMPUTED_VALUE"""),0.0)</f>
        <v>0</v>
      </c>
      <c r="AG14" s="12">
        <f>IFERROR(__xludf.DUMMYFUNCTION("""COMPUTED_VALUE"""),0.0)</f>
        <v>0</v>
      </c>
      <c r="AH14" s="10">
        <f>IFERROR(__xludf.DUMMYFUNCTION("""COMPUTED_VALUE"""),14.145)</f>
        <v>14.145</v>
      </c>
      <c r="AI14" s="12">
        <f>IFERROR(__xludf.DUMMYFUNCTION("""COMPUTED_VALUE"""),80.8)</f>
        <v>80.8</v>
      </c>
      <c r="AJ14" s="10">
        <f>IFERROR(__xludf.DUMMYFUNCTION("""COMPUTED_VALUE"""),97.276)</f>
        <v>97.276</v>
      </c>
      <c r="AK14" s="3"/>
      <c r="AL14" s="3"/>
      <c r="AM14" s="3"/>
      <c r="AN14" s="3"/>
      <c r="AO14" s="3"/>
      <c r="AP14" s="3"/>
      <c r="AQ14" s="3"/>
      <c r="AR14" s="9">
        <v>100.0</v>
      </c>
      <c r="AS14" s="9">
        <v>100.0</v>
      </c>
      <c r="AT14" s="9">
        <v>100.0</v>
      </c>
      <c r="AU14" s="9">
        <v>100.0</v>
      </c>
      <c r="AV14" s="9">
        <v>110.0</v>
      </c>
      <c r="AW14" s="9">
        <v>110.0</v>
      </c>
      <c r="AX14" s="9">
        <v>0.0</v>
      </c>
      <c r="AY14" s="9">
        <v>0.0</v>
      </c>
      <c r="AZ14" s="9">
        <v>0.0</v>
      </c>
      <c r="BA14" s="9">
        <v>0.0</v>
      </c>
      <c r="BB14" s="9">
        <v>0.0</v>
      </c>
      <c r="BC14" s="9">
        <v>0.0</v>
      </c>
      <c r="BD14" s="3"/>
      <c r="BE14" s="3"/>
      <c r="BF14" s="3"/>
      <c r="BG14" s="3"/>
      <c r="BH14" s="3"/>
    </row>
    <row r="15">
      <c r="A15" s="3"/>
      <c r="B15" s="6" t="s">
        <v>74</v>
      </c>
      <c r="C15" s="3"/>
      <c r="E15" s="3"/>
      <c r="F15" s="3"/>
      <c r="G15" s="10">
        <v>3.578771422E9</v>
      </c>
      <c r="H15" s="10">
        <v>1.019731879E9</v>
      </c>
      <c r="I15" s="11">
        <v>3.58</v>
      </c>
      <c r="J15" s="11">
        <v>22.965</v>
      </c>
      <c r="K15" s="11">
        <v>110.0</v>
      </c>
      <c r="L15" s="14"/>
      <c r="M15" s="3"/>
      <c r="N15" s="3"/>
      <c r="O15" s="3"/>
      <c r="P15" s="3"/>
      <c r="Q15" s="3"/>
      <c r="R15" s="18">
        <f>IFERROR(__xludf.DUMMYFUNCTION("IMPORTRANGE(""1Oll_sAr-jpBfzl7ZdroBBuuM-sHhVKRxyQNEl9IyQIU"",""delta aset!D40:O40"")"),0.0)</f>
        <v>0</v>
      </c>
      <c r="S15" s="18">
        <f>IFERROR(__xludf.DUMMYFUNCTION("""COMPUTED_VALUE"""),0.0)</f>
        <v>0</v>
      </c>
      <c r="T15" s="18">
        <f>IFERROR(__xludf.DUMMYFUNCTION("""COMPUTED_VALUE"""),0.0)</f>
        <v>0</v>
      </c>
      <c r="U15" s="10">
        <f>IFERROR(__xludf.DUMMYFUNCTION("""COMPUTED_VALUE"""),1.019335559)</f>
        <v>1.019335559</v>
      </c>
      <c r="V15" s="10">
        <f>IFERROR(__xludf.DUMMYFUNCTION("""COMPUTED_VALUE"""),1.529795979)</f>
        <v>1.529795979</v>
      </c>
      <c r="W15" s="10">
        <f>IFERROR(__xludf.DUMMYFUNCTION("""COMPUTED_VALUE"""),3.578771422)</f>
        <v>3.578771422</v>
      </c>
      <c r="X15" s="10">
        <f>IFERROR(__xludf.DUMMYFUNCTION("""COMPUTED_VALUE"""),3.772968321)</f>
        <v>3.772968321</v>
      </c>
      <c r="Y15" s="10">
        <f>IFERROR(__xludf.DUMMYFUNCTION("""COMPUTED_VALUE"""),3.976676905)</f>
        <v>3.976676905</v>
      </c>
      <c r="Z15" s="10">
        <f>IFERROR(__xludf.DUMMYFUNCTION("""COMPUTED_VALUE"""),4.486344684)</f>
        <v>4.486344684</v>
      </c>
      <c r="AA15" s="10">
        <f>IFERROR(__xludf.DUMMYFUNCTION("""COMPUTED_VALUE"""),5.404222272)</f>
        <v>5.404222272</v>
      </c>
      <c r="AB15" s="10">
        <f>IFERROR(__xludf.DUMMYFUNCTION("""COMPUTED_VALUE"""),7.137726834)</f>
        <v>7.137726834</v>
      </c>
      <c r="AC15" s="10">
        <f>IFERROR(__xludf.DUMMYFUNCTION("""COMPUTED_VALUE"""),10.19731879)</f>
        <v>10.19731879</v>
      </c>
      <c r="AD15" s="3"/>
      <c r="AE15" s="10">
        <f>IFERROR(__xludf.DUMMYFUNCTION("IMPORTRANGE(""1e7--NjE9N54w7uxIeTVQ2x149gW2CjGTf8gPedLtEqw"",""UP3!AE15:AP15"")"),0.0)</f>
        <v>0</v>
      </c>
      <c r="AF15" s="12">
        <f>IFERROR(__xludf.DUMMYFUNCTION("""COMPUTED_VALUE"""),0.0)</f>
        <v>0</v>
      </c>
      <c r="AG15" s="12">
        <f>IFERROR(__xludf.DUMMYFUNCTION("""COMPUTED_VALUE"""),0.0)</f>
        <v>0</v>
      </c>
      <c r="AH15" s="10">
        <f>IFERROR(__xludf.DUMMYFUNCTION("""COMPUTED_VALUE"""),1.019335559)</f>
        <v>1.019335559</v>
      </c>
      <c r="AI15" s="12">
        <f>IFERROR(__xludf.DUMMYFUNCTION("""COMPUTED_VALUE"""),18630.0)</f>
        <v>18630</v>
      </c>
      <c r="AJ15" s="10">
        <f>IFERROR(__xludf.DUMMYFUNCTION("""COMPUTED_VALUE"""),22.965)</f>
        <v>22.965</v>
      </c>
      <c r="AK15" s="3"/>
      <c r="AL15" s="3"/>
      <c r="AM15" s="3"/>
      <c r="AN15" s="3"/>
      <c r="AO15" s="3"/>
      <c r="AP15" s="3"/>
      <c r="AQ15" s="3"/>
      <c r="AR15" s="9">
        <v>100.0</v>
      </c>
      <c r="AS15" s="9">
        <v>100.0</v>
      </c>
      <c r="AT15" s="9">
        <v>100.0</v>
      </c>
      <c r="AU15" s="9">
        <v>100.0</v>
      </c>
      <c r="AV15" s="9">
        <v>110.0</v>
      </c>
      <c r="AW15" s="9">
        <v>110.0</v>
      </c>
      <c r="AX15" s="9">
        <v>0.0</v>
      </c>
      <c r="AY15" s="9">
        <v>0.0</v>
      </c>
      <c r="AZ15" s="9">
        <v>0.0</v>
      </c>
      <c r="BA15" s="9">
        <v>0.0</v>
      </c>
      <c r="BB15" s="9">
        <v>0.0</v>
      </c>
      <c r="BC15" s="9">
        <v>0.0</v>
      </c>
      <c r="BD15" s="3"/>
      <c r="BE15" s="3"/>
      <c r="BF15" s="3"/>
      <c r="BG15" s="3"/>
      <c r="BH15" s="3"/>
    </row>
    <row r="16">
      <c r="A16" s="3"/>
      <c r="B16" s="6" t="s">
        <v>75</v>
      </c>
      <c r="C16" s="9">
        <v>3.0</v>
      </c>
      <c r="D16" s="6" t="s">
        <v>125</v>
      </c>
      <c r="E16" s="6" t="s">
        <v>91</v>
      </c>
      <c r="F16" s="9">
        <v>5.0</v>
      </c>
      <c r="G16" s="9">
        <v>100.0</v>
      </c>
      <c r="H16" s="9">
        <v>100.0</v>
      </c>
      <c r="I16" s="11">
        <v>100.0</v>
      </c>
      <c r="J16" s="11">
        <v>100.0</v>
      </c>
      <c r="K16" s="11">
        <v>100.0</v>
      </c>
      <c r="L16" s="11">
        <v>5.0</v>
      </c>
      <c r="M16" s="3"/>
      <c r="N16" s="6" t="s">
        <v>93</v>
      </c>
      <c r="O16" s="3"/>
      <c r="P16" s="3"/>
      <c r="Q16" s="3"/>
      <c r="R16" s="9">
        <v>100.0</v>
      </c>
      <c r="S16" s="9">
        <v>100.0</v>
      </c>
      <c r="T16" s="9">
        <v>100.0</v>
      </c>
      <c r="U16" s="9">
        <v>100.0</v>
      </c>
      <c r="V16" s="9">
        <v>100.0</v>
      </c>
      <c r="W16" s="9">
        <v>100.0</v>
      </c>
      <c r="X16" s="9">
        <v>100.0</v>
      </c>
      <c r="Y16" s="9">
        <v>100.0</v>
      </c>
      <c r="Z16" s="9">
        <v>100.0</v>
      </c>
      <c r="AA16" s="9">
        <v>100.0</v>
      </c>
      <c r="AB16" s="9">
        <v>100.0</v>
      </c>
      <c r="AC16" s="9">
        <v>100.0</v>
      </c>
      <c r="AD16" s="3"/>
      <c r="AE16" s="10">
        <f>IFERROR(__xludf.DUMMYFUNCTION("IMPORTRANGE(""1e7--NjE9N54w7uxIeTVQ2x149gW2CjGTf8gPedLtEqw"",""UP3!AE16:AP16"")"),100.0)</f>
        <v>100</v>
      </c>
      <c r="AF16" s="12">
        <f>IFERROR(__xludf.DUMMYFUNCTION("""COMPUTED_VALUE"""),100.0)</f>
        <v>100</v>
      </c>
      <c r="AG16" s="12">
        <f>IFERROR(__xludf.DUMMYFUNCTION("""COMPUTED_VALUE"""),100.0)</f>
        <v>100</v>
      </c>
      <c r="AH16" s="12">
        <f>IFERROR(__xludf.DUMMYFUNCTION("""COMPUTED_VALUE"""),100.0)</f>
        <v>100</v>
      </c>
      <c r="AI16" s="12">
        <f>IFERROR(__xludf.DUMMYFUNCTION("""COMPUTED_VALUE"""),100.0)</f>
        <v>100</v>
      </c>
      <c r="AJ16" s="12">
        <f>IFERROR(__xludf.DUMMYFUNCTION("""COMPUTED_VALUE"""),100.0)</f>
        <v>100</v>
      </c>
      <c r="AK16" s="3"/>
      <c r="AL16" s="3"/>
      <c r="AM16" s="3"/>
      <c r="AN16" s="3"/>
      <c r="AO16" s="3"/>
      <c r="AP16" s="3"/>
      <c r="AQ16" s="3"/>
      <c r="AR16" s="9">
        <v>100.0</v>
      </c>
      <c r="AS16" s="9">
        <v>100.0</v>
      </c>
      <c r="AT16" s="9">
        <v>100.0</v>
      </c>
      <c r="AU16" s="9">
        <v>100.0</v>
      </c>
      <c r="AV16" s="9">
        <v>100.0</v>
      </c>
      <c r="AW16" s="9">
        <v>100.0</v>
      </c>
      <c r="AX16" s="9">
        <v>0.0</v>
      </c>
      <c r="AY16" s="9">
        <v>0.0</v>
      </c>
      <c r="AZ16" s="9">
        <v>0.0</v>
      </c>
      <c r="BA16" s="9">
        <v>0.0</v>
      </c>
      <c r="BB16" s="9">
        <v>0.0</v>
      </c>
      <c r="BC16" s="9">
        <v>0.0</v>
      </c>
      <c r="BD16" s="3"/>
      <c r="BE16" s="9">
        <v>5.0</v>
      </c>
      <c r="BF16" s="9">
        <v>5.0</v>
      </c>
      <c r="BG16" s="9">
        <v>5.0</v>
      </c>
      <c r="BH16" s="9">
        <v>5.0</v>
      </c>
    </row>
    <row r="17">
      <c r="A17" s="9">
        <v>5.0</v>
      </c>
      <c r="B17" s="6" t="s">
        <v>76</v>
      </c>
      <c r="C17" s="3"/>
      <c r="D17" s="3"/>
      <c r="E17" s="3"/>
      <c r="F17" s="9">
        <v>10.0</v>
      </c>
      <c r="G17" s="3"/>
      <c r="H17" s="3"/>
      <c r="I17" s="14"/>
      <c r="J17" s="14"/>
      <c r="K17" s="14"/>
      <c r="L17" s="11">
        <v>10.4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 t="str">
        <f>IFERROR(__xludf.DUMMYFUNCTION("IMPORTRANGE(""1e7--NjE9N54w7uxIeTVQ2x149gW2CjGTf8gPedLtEqw"",""UP3!AE17:AP17"")"),"")</f>
        <v/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10">
        <v>9.507471392E9</v>
      </c>
      <c r="BF17" s="10">
        <v>9.694754019E9</v>
      </c>
      <c r="BG17" s="10">
        <v>9.582520064E9</v>
      </c>
      <c r="BH17" s="10">
        <v>1.01488763E8</v>
      </c>
    </row>
    <row r="18">
      <c r="A18" s="3"/>
      <c r="B18" s="6" t="s">
        <v>126</v>
      </c>
      <c r="C18" s="9">
        <v>3.0</v>
      </c>
      <c r="D18" s="6" t="s">
        <v>127</v>
      </c>
      <c r="E18" s="6" t="s">
        <v>128</v>
      </c>
      <c r="F18" s="9" t="s">
        <v>129</v>
      </c>
      <c r="G18" s="9">
        <v>14657.0</v>
      </c>
      <c r="H18" s="9">
        <v>34070.0</v>
      </c>
      <c r="I18" s="11">
        <v>14657.0</v>
      </c>
      <c r="J18" s="11">
        <v>14706.0</v>
      </c>
      <c r="K18" s="11">
        <v>100.33</v>
      </c>
      <c r="L18" s="11">
        <v>0.5</v>
      </c>
      <c r="M18" s="3"/>
      <c r="N18" s="6" t="s">
        <v>93</v>
      </c>
      <c r="O18" s="3"/>
      <c r="P18" s="3"/>
      <c r="Q18" s="3"/>
      <c r="R18" s="19">
        <f>IFERROR(__xludf.DUMMYFUNCTION("IMPORTRANGE(""1Oll_sAr-jpBfzl7ZdroBBuuM-sHhVKRxyQNEl9IyQIU"",""delta plg!D10:O10"")"),2481.0)</f>
        <v>2481</v>
      </c>
      <c r="S18" s="19">
        <f>IFERROR(__xludf.DUMMYFUNCTION("""COMPUTED_VALUE"""),4903.0)</f>
        <v>4903</v>
      </c>
      <c r="T18" s="19">
        <f>IFERROR(__xludf.DUMMYFUNCTION("""COMPUTED_VALUE"""),7030.0)</f>
        <v>7030</v>
      </c>
      <c r="U18" s="19">
        <f>IFERROR(__xludf.DUMMYFUNCTION("""COMPUTED_VALUE"""),9140.0)</f>
        <v>9140</v>
      </c>
      <c r="V18" s="19">
        <f>IFERROR(__xludf.DUMMYFUNCTION("""COMPUTED_VALUE"""),11927.0)</f>
        <v>11927</v>
      </c>
      <c r="W18" s="19">
        <f>IFERROR(__xludf.DUMMYFUNCTION("""COMPUTED_VALUE"""),14657.0)</f>
        <v>14657</v>
      </c>
      <c r="X18" s="19">
        <f>IFERROR(__xludf.DUMMYFUNCTION("""COMPUTED_VALUE"""),17213.0)</f>
        <v>17213</v>
      </c>
      <c r="Y18" s="19">
        <f>IFERROR(__xludf.DUMMYFUNCTION("""COMPUTED_VALUE"""),19617.0)</f>
        <v>19617</v>
      </c>
      <c r="Z18" s="19">
        <f>IFERROR(__xludf.DUMMYFUNCTION("""COMPUTED_VALUE"""),22078.0)</f>
        <v>22078</v>
      </c>
      <c r="AA18" s="19">
        <f>IFERROR(__xludf.DUMMYFUNCTION("""COMPUTED_VALUE"""),25363.0)</f>
        <v>25363</v>
      </c>
      <c r="AB18" s="19">
        <f>IFERROR(__xludf.DUMMYFUNCTION("""COMPUTED_VALUE"""),29282.0)</f>
        <v>29282</v>
      </c>
      <c r="AC18" s="19">
        <f>IFERROR(__xludf.DUMMYFUNCTION("""COMPUTED_VALUE"""),34070.0)</f>
        <v>34070</v>
      </c>
      <c r="AD18" s="3"/>
      <c r="AE18" s="10">
        <f>IFERROR(__xludf.DUMMYFUNCTION("IMPORTRANGE(""1e7--NjE9N54w7uxIeTVQ2x149gW2CjGTf8gPedLtEqw"",""UP3!AE18:AP18"")"),2451.0)</f>
        <v>2451</v>
      </c>
      <c r="AF18" s="12">
        <f>IFERROR(__xludf.DUMMYFUNCTION("""COMPUTED_VALUE"""),4378.0)</f>
        <v>4378</v>
      </c>
      <c r="AG18" s="12">
        <f>IFERROR(__xludf.DUMMYFUNCTION("""COMPUTED_VALUE"""),6026.0)</f>
        <v>6026</v>
      </c>
      <c r="AH18" s="12">
        <f>IFERROR(__xludf.DUMMYFUNCTION("""COMPUTED_VALUE"""),8410.0)</f>
        <v>8410</v>
      </c>
      <c r="AI18" s="12">
        <f>IFERROR(__xludf.DUMMYFUNCTION("""COMPUTED_VALUE"""),10980.0)</f>
        <v>10980</v>
      </c>
      <c r="AJ18" s="12">
        <f>IFERROR(__xludf.DUMMYFUNCTION("""COMPUTED_VALUE"""),14706.0)</f>
        <v>14706</v>
      </c>
      <c r="AK18" s="12">
        <f>IFERROR(__xludf.DUMMYFUNCTION("""COMPUTED_VALUE"""),0.0)</f>
        <v>0</v>
      </c>
      <c r="AL18" s="12">
        <f>IFERROR(__xludf.DUMMYFUNCTION("""COMPUTED_VALUE"""),0.0)</f>
        <v>0</v>
      </c>
      <c r="AM18" s="12">
        <f>IFERROR(__xludf.DUMMYFUNCTION("""COMPUTED_VALUE"""),0.0)</f>
        <v>0</v>
      </c>
      <c r="AN18" s="12">
        <f>IFERROR(__xludf.DUMMYFUNCTION("""COMPUTED_VALUE"""),0.0)</f>
        <v>0</v>
      </c>
      <c r="AO18" s="12">
        <f>IFERROR(__xludf.DUMMYFUNCTION("""COMPUTED_VALUE"""),0.0)</f>
        <v>0</v>
      </c>
      <c r="AP18" s="12">
        <f>IFERROR(__xludf.DUMMYFUNCTION("""COMPUTED_VALUE"""),0.0)</f>
        <v>0</v>
      </c>
      <c r="AQ18" s="3"/>
      <c r="AR18" s="10">
        <v>9.879081016E9</v>
      </c>
      <c r="AS18" s="10">
        <v>8.929227004E9</v>
      </c>
      <c r="AT18" s="10">
        <v>8.571834993E9</v>
      </c>
      <c r="AU18" s="10">
        <v>9.20131291E8</v>
      </c>
      <c r="AV18" s="10">
        <v>9.206003186E9</v>
      </c>
      <c r="AW18" s="10">
        <v>1.003343113E9</v>
      </c>
      <c r="AX18" s="9">
        <v>0.0</v>
      </c>
      <c r="AY18" s="9">
        <v>0.0</v>
      </c>
      <c r="AZ18" s="9">
        <v>0.0</v>
      </c>
      <c r="BA18" s="9">
        <v>0.0</v>
      </c>
      <c r="BB18" s="9">
        <v>0.0</v>
      </c>
      <c r="BC18" s="9">
        <v>0.0</v>
      </c>
      <c r="BD18" s="3"/>
      <c r="BE18" s="10">
        <v>4.93954051E8</v>
      </c>
      <c r="BF18" s="10">
        <v>4.4646135E7</v>
      </c>
      <c r="BG18" s="10">
        <v>4.2859175E7</v>
      </c>
      <c r="BH18" s="10">
        <v>4.60065646E8</v>
      </c>
    </row>
    <row r="19">
      <c r="A19" s="3"/>
      <c r="F19" s="9" t="s">
        <v>130</v>
      </c>
      <c r="G19" s="10">
        <v>3.684799854E9</v>
      </c>
      <c r="H19" s="10">
        <v>8.415611245E9</v>
      </c>
      <c r="I19" s="11">
        <v>36.85</v>
      </c>
      <c r="J19" s="11">
        <v>60.582975</v>
      </c>
      <c r="K19" s="11">
        <v>110.0</v>
      </c>
      <c r="L19" s="11">
        <v>1.65</v>
      </c>
      <c r="M19" s="3"/>
      <c r="N19" s="6" t="s">
        <v>93</v>
      </c>
      <c r="O19" s="3"/>
      <c r="P19" s="3"/>
      <c r="Q19" s="3"/>
      <c r="R19" s="10">
        <f>IFERROR(__xludf.DUMMYFUNCTION("IMPORTRANGE(""1Oll_sAr-jpBfzl7ZdroBBuuM-sHhVKRxyQNEl9IyQIU"",""delta mva!D10:O10"")"),3.63057472)</f>
        <v>3.63057472</v>
      </c>
      <c r="S19" s="10">
        <f>IFERROR(__xludf.DUMMYFUNCTION("""COMPUTED_VALUE"""),10.11524602)</f>
        <v>10.11524602</v>
      </c>
      <c r="T19" s="10">
        <f>IFERROR(__xludf.DUMMYFUNCTION("""COMPUTED_VALUE"""),15.96543926)</f>
        <v>15.96543926</v>
      </c>
      <c r="U19" s="10">
        <f>IFERROR(__xludf.DUMMYFUNCTION("""COMPUTED_VALUE"""),21.77873636)</f>
        <v>21.77873636</v>
      </c>
      <c r="V19" s="10">
        <f>IFERROR(__xludf.DUMMYFUNCTION("""COMPUTED_VALUE"""),29.37454252)</f>
        <v>29.37454252</v>
      </c>
      <c r="W19" s="10">
        <f>IFERROR(__xludf.DUMMYFUNCTION("""COMPUTED_VALUE"""),36.84799854)</f>
        <v>36.84799854</v>
      </c>
      <c r="X19" s="10">
        <f>IFERROR(__xludf.DUMMYFUNCTION("""COMPUTED_VALUE"""),43.95407811)</f>
        <v>43.95407811</v>
      </c>
      <c r="Y19" s="10">
        <f>IFERROR(__xludf.DUMMYFUNCTION("""COMPUTED_VALUE"""),50.4002844)</f>
        <v>50.4002844</v>
      </c>
      <c r="Z19" s="10">
        <f>IFERROR(__xludf.DUMMYFUNCTION("""COMPUTED_VALUE"""),56.96189916)</f>
        <v>56.96189916</v>
      </c>
      <c r="AA19" s="10">
        <f>IFERROR(__xludf.DUMMYFUNCTION("""COMPUTED_VALUE"""),66.002004)</f>
        <v>66.002004</v>
      </c>
      <c r="AB19" s="10">
        <f>IFERROR(__xludf.DUMMYFUNCTION("""COMPUTED_VALUE"""),76.69974106)</f>
        <v>76.69974106</v>
      </c>
      <c r="AC19" s="10">
        <f>IFERROR(__xludf.DUMMYFUNCTION("""COMPUTED_VALUE"""),84.15611245)</f>
        <v>84.15611245</v>
      </c>
      <c r="AD19" s="3"/>
      <c r="AE19" s="10">
        <f>IFERROR(__xludf.DUMMYFUNCTION("IMPORTRANGE(""1e7--NjE9N54w7uxIeTVQ2x149gW2CjGTf8gPedLtEqw"",""UP3!AE19:AP19"")"),8.459794000000329)</f>
        <v>8.459794</v>
      </c>
      <c r="AF19" s="10">
        <f>IFERROR(__xludf.DUMMYFUNCTION("""COMPUTED_VALUE"""),20.269794000000275)</f>
        <v>20.269794</v>
      </c>
      <c r="AG19" s="10">
        <f>IFERROR(__xludf.DUMMYFUNCTION("""COMPUTED_VALUE"""),27.68979400000012)</f>
        <v>27.689794</v>
      </c>
      <c r="AH19" s="10">
        <f>IFERROR(__xludf.DUMMYFUNCTION("""COMPUTED_VALUE"""),37.009794000000284)</f>
        <v>37.009794</v>
      </c>
      <c r="AI19" s="10">
        <f>IFERROR(__xludf.DUMMYFUNCTION("""COMPUTED_VALUE"""),47.78548500000011)</f>
        <v>47.785485</v>
      </c>
      <c r="AJ19" s="10">
        <f>IFERROR(__xludf.DUMMYFUNCTION("""COMPUTED_VALUE"""),60.58297500000005)</f>
        <v>60.582975</v>
      </c>
      <c r="AK19" s="3"/>
      <c r="AL19" s="3"/>
      <c r="AM19" s="3"/>
      <c r="AN19" s="3"/>
      <c r="AO19" s="3"/>
      <c r="AP19" s="3"/>
      <c r="AQ19" s="3"/>
      <c r="AR19" s="9">
        <v>110.0</v>
      </c>
      <c r="AS19" s="9">
        <v>110.0</v>
      </c>
      <c r="AT19" s="9">
        <v>110.0</v>
      </c>
      <c r="AU19" s="9">
        <v>110.0</v>
      </c>
      <c r="AV19" s="9">
        <v>110.0</v>
      </c>
      <c r="AW19" s="9">
        <v>110.0</v>
      </c>
      <c r="AX19" s="9">
        <v>0.0</v>
      </c>
      <c r="AY19" s="9">
        <v>0.0</v>
      </c>
      <c r="AZ19" s="9">
        <v>0.0</v>
      </c>
      <c r="BA19" s="9">
        <v>0.0</v>
      </c>
      <c r="BB19" s="9">
        <v>0.0</v>
      </c>
      <c r="BC19" s="9">
        <v>0.0</v>
      </c>
      <c r="BD19" s="3"/>
      <c r="BE19" s="9" t="s">
        <v>131</v>
      </c>
      <c r="BF19" s="9" t="s">
        <v>131</v>
      </c>
      <c r="BG19" s="9" t="s">
        <v>131</v>
      </c>
      <c r="BH19" s="9" t="s">
        <v>131</v>
      </c>
    </row>
    <row r="20">
      <c r="A20" s="3"/>
      <c r="B20" s="6" t="s">
        <v>82</v>
      </c>
      <c r="C20" s="9">
        <v>3.0</v>
      </c>
      <c r="D20" s="6" t="s">
        <v>132</v>
      </c>
      <c r="E20" s="6" t="s">
        <v>133</v>
      </c>
      <c r="F20" s="9">
        <v>2.0</v>
      </c>
      <c r="G20" s="10">
        <v>6.903674811E9</v>
      </c>
      <c r="H20" s="10">
        <v>1.534154227E9</v>
      </c>
      <c r="I20" s="11">
        <v>69.04</v>
      </c>
      <c r="J20" s="11">
        <v>56.9018338</v>
      </c>
      <c r="K20" s="11">
        <v>82.42</v>
      </c>
      <c r="L20" s="11">
        <v>1.65</v>
      </c>
      <c r="M20" s="3"/>
      <c r="N20" s="6" t="s">
        <v>80</v>
      </c>
      <c r="O20" s="3"/>
      <c r="P20" s="3"/>
      <c r="Q20" s="3"/>
      <c r="R20" s="10">
        <f>IFERROR(__xludf.DUMMYFUNCTION("IMPORTRANGE(""1Oll_sAr-jpBfzl7ZdroBBuuM-sHhVKRxyQNEl9IyQIU"",""Rp BP!D10:O10"")"),10.795)</f>
        <v>10.795</v>
      </c>
      <c r="S20" s="10">
        <f>IFERROR(__xludf.DUMMYFUNCTION("""COMPUTED_VALUE"""),21.4604)</f>
        <v>21.4604</v>
      </c>
      <c r="T20" s="10">
        <f>IFERROR(__xludf.DUMMYFUNCTION("""COMPUTED_VALUE"""),31.1584)</f>
        <v>31.1584</v>
      </c>
      <c r="U20" s="10">
        <f>IFERROR(__xludf.DUMMYFUNCTION("""COMPUTED_VALUE"""),43.8824)</f>
        <v>43.8824</v>
      </c>
      <c r="V20" s="10">
        <f>IFERROR(__xludf.DUMMYFUNCTION("""COMPUTED_VALUE"""),56.0578851911611)</f>
        <v>56.05788519</v>
      </c>
      <c r="W20" s="10">
        <f>IFERROR(__xludf.DUMMYFUNCTION("""COMPUTED_VALUE"""),69.0367481064215)</f>
        <v>69.03674811</v>
      </c>
      <c r="X20" s="10">
        <f>IFERROR(__xludf.DUMMYFUNCTION("""COMPUTED_VALUE"""),80.0669821777762)</f>
        <v>80.06698218</v>
      </c>
      <c r="Y20" s="10">
        <f>IFERROR(__xludf.DUMMYFUNCTION("""COMPUTED_VALUE"""),94.2312646255181)</f>
        <v>94.23126463</v>
      </c>
      <c r="Z20" s="10">
        <f>IFERROR(__xludf.DUMMYFUNCTION("""COMPUTED_VALUE"""),106.492234072822)</f>
        <v>106.4922341</v>
      </c>
      <c r="AA20" s="10">
        <f>IFERROR(__xludf.DUMMYFUNCTION("""COMPUTED_VALUE"""),120.461796072365)</f>
        <v>120.4617961</v>
      </c>
      <c r="AB20" s="10">
        <f>IFERROR(__xludf.DUMMYFUNCTION("""COMPUTED_VALUE"""),134.596422714375)</f>
        <v>134.5964227</v>
      </c>
      <c r="AC20" s="10">
        <f>IFERROR(__xludf.DUMMYFUNCTION("""COMPUTED_VALUE"""),153.415422714375)</f>
        <v>153.4154227</v>
      </c>
      <c r="AD20" s="3"/>
      <c r="AE20" s="10">
        <f>IFERROR(__xludf.DUMMYFUNCTION("IMPORTRANGE(""1e7--NjE9N54w7uxIeTVQ2x149gW2CjGTf8gPedLtEqw"",""UP3!AE20:AP20"")"),7.35958485)</f>
        <v>7.35958485</v>
      </c>
      <c r="AF20" s="12">
        <f>IFERROR(__xludf.DUMMYFUNCTION("""COMPUTED_VALUE"""),17.15)</f>
        <v>17.15</v>
      </c>
      <c r="AG20" s="12">
        <f>IFERROR(__xludf.DUMMYFUNCTION("""COMPUTED_VALUE"""),23.43)</f>
        <v>23.43</v>
      </c>
      <c r="AH20" s="10">
        <f>IFERROR(__xludf.DUMMYFUNCTION("""COMPUTED_VALUE"""),35.9574723)</f>
        <v>35.9574723</v>
      </c>
      <c r="AI20" s="10">
        <f>IFERROR(__xludf.DUMMYFUNCTION("""COMPUTED_VALUE"""),45.81543615)</f>
        <v>45.81543615</v>
      </c>
      <c r="AJ20" s="10">
        <f>IFERROR(__xludf.DUMMYFUNCTION("""COMPUTED_VALUE"""),56.9018338)</f>
        <v>56.9018338</v>
      </c>
      <c r="AK20" s="12">
        <f>IFERROR(__xludf.DUMMYFUNCTION("""COMPUTED_VALUE"""),0.0)</f>
        <v>0</v>
      </c>
      <c r="AL20" s="12">
        <f>IFERROR(__xludf.DUMMYFUNCTION("""COMPUTED_VALUE"""),0.0)</f>
        <v>0</v>
      </c>
      <c r="AM20" s="12">
        <f>IFERROR(__xludf.DUMMYFUNCTION("""COMPUTED_VALUE"""),0.0)</f>
        <v>0</v>
      </c>
      <c r="AN20" s="12">
        <f>IFERROR(__xludf.DUMMYFUNCTION("""COMPUTED_VALUE"""),0.0)</f>
        <v>0</v>
      </c>
      <c r="AO20" s="12">
        <f>IFERROR(__xludf.DUMMYFUNCTION("""COMPUTED_VALUE"""),0.0)</f>
        <v>0</v>
      </c>
      <c r="AP20" s="12">
        <f>IFERROR(__xludf.DUMMYFUNCTION("""COMPUTED_VALUE"""),0.0)</f>
        <v>0</v>
      </c>
      <c r="AQ20" s="3"/>
      <c r="AR20" s="10">
        <v>6.817586707E9</v>
      </c>
      <c r="AS20" s="10">
        <v>7.991463346E9</v>
      </c>
      <c r="AT20" s="10">
        <v>7.519641573E9</v>
      </c>
      <c r="AU20" s="10">
        <v>8.194053265E9</v>
      </c>
      <c r="AV20" s="10">
        <v>8.172879871E9</v>
      </c>
      <c r="AW20" s="10">
        <v>8.24225291E8</v>
      </c>
      <c r="AX20" s="9">
        <v>0.0</v>
      </c>
      <c r="AY20" s="9">
        <v>0.0</v>
      </c>
      <c r="AZ20" s="9">
        <v>0.0</v>
      </c>
      <c r="BA20" s="9">
        <v>0.0</v>
      </c>
      <c r="BB20" s="9">
        <v>0.0</v>
      </c>
      <c r="BC20" s="9">
        <v>0.0</v>
      </c>
      <c r="BD20" s="3"/>
      <c r="BE20" s="10">
        <v>1.363517341E9</v>
      </c>
      <c r="BF20" s="10">
        <v>1.598292669E9</v>
      </c>
      <c r="BG20" s="10">
        <v>1.503928315E9</v>
      </c>
      <c r="BH20" s="10">
        <v>1.638810653E9</v>
      </c>
    </row>
    <row r="21">
      <c r="A21" s="3"/>
      <c r="B21" s="6" t="s">
        <v>83</v>
      </c>
      <c r="C21" s="9">
        <v>3.0</v>
      </c>
      <c r="D21" s="6" t="s">
        <v>134</v>
      </c>
      <c r="E21" s="6" t="s">
        <v>135</v>
      </c>
      <c r="F21" s="9">
        <v>4.0</v>
      </c>
      <c r="G21" s="9">
        <v>16.0</v>
      </c>
      <c r="H21" s="9">
        <v>49.0</v>
      </c>
      <c r="I21" s="11">
        <v>16.0</v>
      </c>
      <c r="J21" s="11">
        <v>67.0</v>
      </c>
      <c r="K21" s="11">
        <v>110.0</v>
      </c>
      <c r="L21" s="11">
        <v>4.4</v>
      </c>
      <c r="M21" s="3"/>
      <c r="N21" s="6" t="s">
        <v>93</v>
      </c>
      <c r="O21" s="3"/>
      <c r="P21" s="3"/>
      <c r="Q21" s="3"/>
      <c r="R21" s="16">
        <f>IFERROR(__xludf.DUMMYFUNCTION("IMPORTRANGE(""1Oll_sAr-jpBfzl7ZdroBBuuM-sHhVKRxyQNEl9IyQIU"",""Plg Lisdes!D10:O10"")"),0.0)</f>
        <v>0</v>
      </c>
      <c r="S21" s="16">
        <f>IFERROR(__xludf.DUMMYFUNCTION("""COMPUTED_VALUE"""),0.0)</f>
        <v>0</v>
      </c>
      <c r="T21" s="16">
        <f>IFERROR(__xludf.DUMMYFUNCTION("""COMPUTED_VALUE"""),0.0)</f>
        <v>0</v>
      </c>
      <c r="U21" s="16">
        <f>IFERROR(__xludf.DUMMYFUNCTION("""COMPUTED_VALUE"""),5.0)</f>
        <v>5</v>
      </c>
      <c r="V21" s="16">
        <f>IFERROR(__xludf.DUMMYFUNCTION("""COMPUTED_VALUE"""),10.0)</f>
        <v>10</v>
      </c>
      <c r="W21" s="16">
        <f>IFERROR(__xludf.DUMMYFUNCTION("""COMPUTED_VALUE"""),16.0)</f>
        <v>16</v>
      </c>
      <c r="X21" s="16">
        <f>IFERROR(__xludf.DUMMYFUNCTION("""COMPUTED_VALUE"""),24.0)</f>
        <v>24</v>
      </c>
      <c r="Y21" s="16">
        <f>IFERROR(__xludf.DUMMYFUNCTION("""COMPUTED_VALUE"""),32.0)</f>
        <v>32</v>
      </c>
      <c r="Z21" s="16">
        <f>IFERROR(__xludf.DUMMYFUNCTION("""COMPUTED_VALUE"""),41.0)</f>
        <v>41</v>
      </c>
      <c r="AA21" s="16">
        <f>IFERROR(__xludf.DUMMYFUNCTION("""COMPUTED_VALUE"""),49.0)</f>
        <v>49</v>
      </c>
      <c r="AB21" s="16">
        <f>IFERROR(__xludf.DUMMYFUNCTION("""COMPUTED_VALUE"""),49.0)</f>
        <v>49</v>
      </c>
      <c r="AC21" s="16">
        <f>IFERROR(__xludf.DUMMYFUNCTION("""COMPUTED_VALUE"""),49.0)</f>
        <v>49</v>
      </c>
      <c r="AD21" s="3"/>
      <c r="AE21" s="10">
        <f>IFERROR(__xludf.DUMMYFUNCTION("IMPORTRANGE(""1e7--NjE9N54w7uxIeTVQ2x149gW2CjGTf8gPedLtEqw"",""UP3!AE21:AP21"")"),0.0)</f>
        <v>0</v>
      </c>
      <c r="AF21" s="12">
        <f>IFERROR(__xludf.DUMMYFUNCTION("""COMPUTED_VALUE"""),0.0)</f>
        <v>0</v>
      </c>
      <c r="AG21" s="12">
        <f>IFERROR(__xludf.DUMMYFUNCTION("""COMPUTED_VALUE"""),0.0)</f>
        <v>0</v>
      </c>
      <c r="AH21" s="12">
        <f>IFERROR(__xludf.DUMMYFUNCTION("""COMPUTED_VALUE"""),23.0)</f>
        <v>23</v>
      </c>
      <c r="AI21" s="12">
        <f>IFERROR(__xludf.DUMMYFUNCTION("""COMPUTED_VALUE"""),43.0)</f>
        <v>43</v>
      </c>
      <c r="AJ21" s="12">
        <f>IFERROR(__xludf.DUMMYFUNCTION("""COMPUTED_VALUE"""),67.0)</f>
        <v>67</v>
      </c>
      <c r="AK21" s="12">
        <f>IFERROR(__xludf.DUMMYFUNCTION("""COMPUTED_VALUE"""),0.0)</f>
        <v>0</v>
      </c>
      <c r="AL21" s="12">
        <f>IFERROR(__xludf.DUMMYFUNCTION("""COMPUTED_VALUE"""),0.0)</f>
        <v>0</v>
      </c>
      <c r="AM21" s="12">
        <f>IFERROR(__xludf.DUMMYFUNCTION("""COMPUTED_VALUE"""),0.0)</f>
        <v>0</v>
      </c>
      <c r="AN21" s="12">
        <f>IFERROR(__xludf.DUMMYFUNCTION("""COMPUTED_VALUE"""),0.0)</f>
        <v>0</v>
      </c>
      <c r="AO21" s="12">
        <f>IFERROR(__xludf.DUMMYFUNCTION("""COMPUTED_VALUE"""),0.0)</f>
        <v>0</v>
      </c>
      <c r="AP21" s="12">
        <f>IFERROR(__xludf.DUMMYFUNCTION("""COMPUTED_VALUE"""),0.0)</f>
        <v>0</v>
      </c>
      <c r="AQ21" s="3"/>
      <c r="AR21" s="9">
        <v>100.0</v>
      </c>
      <c r="AS21" s="9">
        <v>100.0</v>
      </c>
      <c r="AT21" s="9">
        <v>100.0</v>
      </c>
      <c r="AU21" s="9">
        <v>110.0</v>
      </c>
      <c r="AV21" s="9">
        <v>110.0</v>
      </c>
      <c r="AW21" s="9">
        <v>110.0</v>
      </c>
      <c r="AX21" s="9">
        <v>0.0</v>
      </c>
      <c r="AY21" s="9">
        <v>0.0</v>
      </c>
      <c r="AZ21" s="9">
        <v>0.0</v>
      </c>
      <c r="BA21" s="9">
        <v>0.0</v>
      </c>
      <c r="BB21" s="9">
        <v>0.0</v>
      </c>
      <c r="BC21" s="9">
        <v>0.0</v>
      </c>
      <c r="BD21" s="3"/>
      <c r="BE21" s="9">
        <v>4.0</v>
      </c>
      <c r="BF21" s="9">
        <v>4.0</v>
      </c>
      <c r="BG21" s="9">
        <v>4.0</v>
      </c>
      <c r="BH21" s="9" t="s">
        <v>136</v>
      </c>
    </row>
    <row r="22">
      <c r="A22" s="3"/>
      <c r="B22" s="6" t="s">
        <v>84</v>
      </c>
      <c r="C22" s="9">
        <v>3.0</v>
      </c>
      <c r="D22" s="6" t="s">
        <v>137</v>
      </c>
      <c r="E22" s="6" t="s">
        <v>138</v>
      </c>
      <c r="F22" s="9">
        <v>2.0</v>
      </c>
      <c r="G22" s="10">
        <v>1.220182443E9</v>
      </c>
      <c r="H22" s="10">
        <v>1.281059173E9</v>
      </c>
      <c r="I22" s="11">
        <v>1220.18</v>
      </c>
      <c r="J22" s="11">
        <v>8561.7</v>
      </c>
      <c r="K22" s="11">
        <v>110.0</v>
      </c>
      <c r="L22" s="11">
        <v>2.2</v>
      </c>
      <c r="M22" s="3"/>
      <c r="N22" s="6" t="s">
        <v>93</v>
      </c>
      <c r="O22" s="3"/>
      <c r="P22" s="3"/>
      <c r="Q22" s="3"/>
      <c r="R22" s="16">
        <f>IFERROR(__xludf.DUMMYFUNCTION("IMPORTRANGE(""1Oll_sAr-jpBfzl7ZdroBBuuM-sHhVKRxyQNEl9IyQIU"",""kWh Lisdes!D10:O10"")"),0.0)</f>
        <v>0</v>
      </c>
      <c r="S22" s="16">
        <f>IFERROR(__xludf.DUMMYFUNCTION("""COMPUTED_VALUE"""),0.0)</f>
        <v>0</v>
      </c>
      <c r="T22" s="16">
        <f>IFERROR(__xludf.DUMMYFUNCTION("""COMPUTED_VALUE"""),0.0)</f>
        <v>0</v>
      </c>
      <c r="U22" s="10">
        <f>IFERROR(__xludf.DUMMYFUNCTION("""COMPUTED_VALUE"""),200.885496183206)</f>
        <v>200.8854962</v>
      </c>
      <c r="V22" s="10">
        <f>IFERROR(__xludf.DUMMYFUNCTION("""COMPUTED_VALUE"""),609.352671755725)</f>
        <v>609.3526718</v>
      </c>
      <c r="W22" s="10">
        <f>IFERROR(__xludf.DUMMYFUNCTION("""COMPUTED_VALUE"""),1220.18244274809)</f>
        <v>1220.182443</v>
      </c>
      <c r="X22" s="10">
        <f>IFERROR(__xludf.DUMMYFUNCTION("""COMPUTED_VALUE"""),2273.64961832061)</f>
        <v>2273.649618</v>
      </c>
      <c r="Y22" s="10">
        <f>IFERROR(__xludf.DUMMYFUNCTION("""COMPUTED_VALUE"""),3769.75419847328)</f>
        <v>3769.754198</v>
      </c>
      <c r="Z22" s="10">
        <f>IFERROR(__xludf.DUMMYFUNCTION("""COMPUTED_VALUE"""),5695.69465648855)</f>
        <v>5695.694656</v>
      </c>
      <c r="AA22" s="10">
        <f>IFERROR(__xludf.DUMMYFUNCTION("""COMPUTED_VALUE"""),8067.32519083969)</f>
        <v>8067.325191</v>
      </c>
      <c r="AB22" s="10">
        <f>IFERROR(__xludf.DUMMYFUNCTION("""COMPUTED_VALUE"""),10438.9557251908)</f>
        <v>10438.95573</v>
      </c>
      <c r="AC22" s="10">
        <f>IFERROR(__xludf.DUMMYFUNCTION("""COMPUTED_VALUE"""),12810.5917302799)</f>
        <v>12810.59173</v>
      </c>
      <c r="AD22" s="3"/>
      <c r="AE22" s="10">
        <f>IFERROR(__xludf.DUMMYFUNCTION("IMPORTRANGE(""1e7--NjE9N54w7uxIeTVQ2x149gW2CjGTf8gPedLtEqw"",""UP3!AE22:AP22"")"),0.0)</f>
        <v>0</v>
      </c>
      <c r="AF22" s="12">
        <f>IFERROR(__xludf.DUMMYFUNCTION("""COMPUTED_VALUE"""),0.0)</f>
        <v>0</v>
      </c>
      <c r="AG22" s="12">
        <f>IFERROR(__xludf.DUMMYFUNCTION("""COMPUTED_VALUE"""),0.0)</f>
        <v>0</v>
      </c>
      <c r="AH22" s="10">
        <f>IFERROR(__xludf.DUMMYFUNCTION("""COMPUTED_VALUE"""),200.885496183206)</f>
        <v>200.8854962</v>
      </c>
      <c r="AI22" s="12">
        <f>IFERROR(__xludf.DUMMYFUNCTION("""COMPUTED_VALUE"""),6494.299999999999)</f>
        <v>6494.3</v>
      </c>
      <c r="AJ22" s="12">
        <f>IFERROR(__xludf.DUMMYFUNCTION("""COMPUTED_VALUE"""),8561.699999999999)</f>
        <v>8561.7</v>
      </c>
      <c r="AK22" s="3"/>
      <c r="AL22" s="3"/>
      <c r="AM22" s="3"/>
      <c r="AN22" s="3"/>
      <c r="AO22" s="3"/>
      <c r="AP22" s="3"/>
      <c r="AQ22" s="3"/>
      <c r="AR22" s="9">
        <v>100.0</v>
      </c>
      <c r="AS22" s="9">
        <v>100.0</v>
      </c>
      <c r="AT22" s="9">
        <v>100.0</v>
      </c>
      <c r="AU22" s="9">
        <v>100.0</v>
      </c>
      <c r="AV22" s="9">
        <v>110.0</v>
      </c>
      <c r="AW22" s="9">
        <v>110.0</v>
      </c>
      <c r="AX22" s="9">
        <v>0.0</v>
      </c>
      <c r="AY22" s="9">
        <v>0.0</v>
      </c>
      <c r="AZ22" s="9">
        <v>0.0</v>
      </c>
      <c r="BA22" s="9">
        <v>0.0</v>
      </c>
      <c r="BB22" s="9">
        <v>0.0</v>
      </c>
      <c r="BC22" s="9">
        <v>0.0</v>
      </c>
      <c r="BD22" s="3"/>
      <c r="BE22" s="9">
        <v>2.0</v>
      </c>
      <c r="BF22" s="9">
        <v>2.0</v>
      </c>
      <c r="BG22" s="9">
        <v>2.0</v>
      </c>
      <c r="BH22" s="9">
        <v>2.0</v>
      </c>
    </row>
    <row r="23">
      <c r="A23" s="9">
        <v>6.0</v>
      </c>
      <c r="B23" s="6" t="s">
        <v>85</v>
      </c>
      <c r="C23" s="3"/>
      <c r="D23" s="3"/>
      <c r="E23" s="6" t="s">
        <v>91</v>
      </c>
      <c r="F23" s="9">
        <v>8.0</v>
      </c>
      <c r="G23" s="3"/>
      <c r="H23" s="3"/>
      <c r="I23" s="14"/>
      <c r="J23" s="14"/>
      <c r="K23" s="14"/>
      <c r="L23" s="11">
        <v>8.8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10" t="str">
        <f>IFERROR(__xludf.DUMMYFUNCTION("IMPORTRANGE(""1e7--NjE9N54w7uxIeTVQ2x149gW2CjGTf8gPedLtEqw"",""UP3!AE23:AP23"")"),"")</f>
        <v/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10">
        <v>8.737682625E9</v>
      </c>
      <c r="BF23" s="9" t="s">
        <v>139</v>
      </c>
      <c r="BG23" s="9" t="s">
        <v>139</v>
      </c>
      <c r="BH23" s="9" t="s">
        <v>139</v>
      </c>
    </row>
    <row r="24">
      <c r="A24" s="3"/>
      <c r="B24" s="6" t="s">
        <v>86</v>
      </c>
      <c r="C24" s="9">
        <v>1.0</v>
      </c>
      <c r="D24" s="6" t="s">
        <v>140</v>
      </c>
      <c r="E24" s="6" t="s">
        <v>141</v>
      </c>
      <c r="F24" s="9">
        <v>2.0</v>
      </c>
      <c r="G24" s="9">
        <v>9.0</v>
      </c>
      <c r="H24" s="9">
        <v>20.0</v>
      </c>
      <c r="I24" s="11">
        <v>9.0</v>
      </c>
      <c r="J24" s="11">
        <v>4.0</v>
      </c>
      <c r="K24" s="11">
        <v>110.0</v>
      </c>
      <c r="L24" s="11">
        <v>2.2</v>
      </c>
      <c r="M24" s="3"/>
      <c r="N24" s="6" t="s">
        <v>93</v>
      </c>
      <c r="O24" s="3"/>
      <c r="P24" s="3"/>
      <c r="Q24" s="3"/>
      <c r="R24" s="20">
        <f>IFERROR(__xludf.DUMMYFUNCTION("IMPORTRANGE(""1Oll_sAr-jpBfzl7ZdroBBuuM-sHhVKRxyQNEl9IyQIU"",""rate negatif!D10:O10"")"),2.0)</f>
        <v>2</v>
      </c>
      <c r="S24" s="20">
        <f>IFERROR(__xludf.DUMMYFUNCTION("""COMPUTED_VALUE"""),4.0)</f>
        <v>4</v>
      </c>
      <c r="T24" s="20">
        <f>IFERROR(__xludf.DUMMYFUNCTION("""COMPUTED_VALUE"""),6.0)</f>
        <v>6</v>
      </c>
      <c r="U24" s="20">
        <f>IFERROR(__xludf.DUMMYFUNCTION("""COMPUTED_VALUE"""),7.0)</f>
        <v>7</v>
      </c>
      <c r="V24" s="20">
        <f>IFERROR(__xludf.DUMMYFUNCTION("""COMPUTED_VALUE"""),8.0)</f>
        <v>8</v>
      </c>
      <c r="W24" s="20">
        <f>IFERROR(__xludf.DUMMYFUNCTION("""COMPUTED_VALUE"""),9.0)</f>
        <v>9</v>
      </c>
      <c r="X24" s="20">
        <f>IFERROR(__xludf.DUMMYFUNCTION("""COMPUTED_VALUE"""),11.0)</f>
        <v>11</v>
      </c>
      <c r="Y24" s="20">
        <f>IFERROR(__xludf.DUMMYFUNCTION("""COMPUTED_VALUE"""),13.0)</f>
        <v>13</v>
      </c>
      <c r="Z24" s="20">
        <f>IFERROR(__xludf.DUMMYFUNCTION("""COMPUTED_VALUE"""),14.0)</f>
        <v>14</v>
      </c>
      <c r="AA24" s="20">
        <f>IFERROR(__xludf.DUMMYFUNCTION("""COMPUTED_VALUE"""),16.0)</f>
        <v>16</v>
      </c>
      <c r="AB24" s="20">
        <f>IFERROR(__xludf.DUMMYFUNCTION("""COMPUTED_VALUE"""),18.0)</f>
        <v>18</v>
      </c>
      <c r="AC24" s="20">
        <f>IFERROR(__xludf.DUMMYFUNCTION("""COMPUTED_VALUE"""),20.0)</f>
        <v>20</v>
      </c>
      <c r="AD24" s="3"/>
      <c r="AE24" s="10">
        <f>IFERROR(__xludf.DUMMYFUNCTION("IMPORTRANGE(""1e7--NjE9N54w7uxIeTVQ2x149gW2CjGTf8gPedLtEqw"",""UP3!AE24:AP24"")"),0.0)</f>
        <v>0</v>
      </c>
      <c r="AF24" s="12">
        <f>IFERROR(__xludf.DUMMYFUNCTION("""COMPUTED_VALUE"""),0.0)</f>
        <v>0</v>
      </c>
      <c r="AG24" s="12">
        <f>IFERROR(__xludf.DUMMYFUNCTION("""COMPUTED_VALUE"""),0.0)</f>
        <v>0</v>
      </c>
      <c r="AH24" s="12">
        <f>IFERROR(__xludf.DUMMYFUNCTION("""COMPUTED_VALUE"""),1.0)</f>
        <v>1</v>
      </c>
      <c r="AI24" s="12">
        <f>IFERROR(__xludf.DUMMYFUNCTION("""COMPUTED_VALUE"""),3.0)</f>
        <v>3</v>
      </c>
      <c r="AJ24" s="12">
        <f>IFERROR(__xludf.DUMMYFUNCTION("""COMPUTED_VALUE"""),4.0)</f>
        <v>4</v>
      </c>
      <c r="AK24" s="12">
        <f>IFERROR(__xludf.DUMMYFUNCTION("""COMPUTED_VALUE"""),13.0)</f>
        <v>13</v>
      </c>
      <c r="AL24" s="3"/>
      <c r="AM24" s="3"/>
      <c r="AN24" s="3"/>
      <c r="AO24" s="3"/>
      <c r="AP24" s="3"/>
      <c r="AQ24" s="3"/>
      <c r="AR24" s="9">
        <v>110.0</v>
      </c>
      <c r="AS24" s="9">
        <v>110.0</v>
      </c>
      <c r="AT24" s="9">
        <v>110.0</v>
      </c>
      <c r="AU24" s="9">
        <v>110.0</v>
      </c>
      <c r="AV24" s="9">
        <v>110.0</v>
      </c>
      <c r="AW24" s="9">
        <v>110.0</v>
      </c>
      <c r="AX24" s="9">
        <v>110.0</v>
      </c>
      <c r="AY24" s="9">
        <v>110.0</v>
      </c>
      <c r="AZ24" s="9">
        <v>110.0</v>
      </c>
      <c r="BA24" s="9">
        <v>110.0</v>
      </c>
      <c r="BB24" s="9">
        <v>110.0</v>
      </c>
      <c r="BC24" s="9">
        <v>110.0</v>
      </c>
      <c r="BD24" s="3"/>
      <c r="BE24" s="9" t="s">
        <v>123</v>
      </c>
      <c r="BF24" s="9" t="s">
        <v>123</v>
      </c>
      <c r="BG24" s="9" t="s">
        <v>123</v>
      </c>
      <c r="BH24" s="9" t="s">
        <v>123</v>
      </c>
    </row>
    <row r="25">
      <c r="A25" s="3"/>
      <c r="B25" s="6" t="s">
        <v>87</v>
      </c>
      <c r="C25" s="9">
        <v>1.0</v>
      </c>
      <c r="D25" s="6" t="s">
        <v>142</v>
      </c>
      <c r="E25" s="6" t="s">
        <v>143</v>
      </c>
      <c r="F25" s="9">
        <v>2.0</v>
      </c>
      <c r="G25" s="9">
        <v>30.0</v>
      </c>
      <c r="H25" s="9">
        <v>30.0</v>
      </c>
      <c r="I25" s="11">
        <v>30.0</v>
      </c>
      <c r="J25" s="11">
        <v>21.25</v>
      </c>
      <c r="K25" s="11">
        <v>110.0</v>
      </c>
      <c r="L25" s="11">
        <v>2.2</v>
      </c>
      <c r="M25" s="3"/>
      <c r="N25" s="6" t="s">
        <v>93</v>
      </c>
      <c r="O25" s="3"/>
      <c r="P25" s="3"/>
      <c r="Q25" s="3"/>
      <c r="R25" s="16">
        <f>IFERROR(__xludf.DUMMYFUNCTION("IMPORTRANGE(""1Oll_sAr-jpBfzl7ZdroBBuuM-sHhVKRxyQNEl9IyQIU"",""RPT ggn!D10:O10"")"),30.0)</f>
        <v>30</v>
      </c>
      <c r="S25" s="16">
        <f>IFERROR(__xludf.DUMMYFUNCTION("""COMPUTED_VALUE"""),30.0)</f>
        <v>30</v>
      </c>
      <c r="T25" s="16">
        <f>IFERROR(__xludf.DUMMYFUNCTION("""COMPUTED_VALUE"""),30.0)</f>
        <v>30</v>
      </c>
      <c r="U25" s="16">
        <f>IFERROR(__xludf.DUMMYFUNCTION("""COMPUTED_VALUE"""),30.0)</f>
        <v>30</v>
      </c>
      <c r="V25" s="16">
        <f>IFERROR(__xludf.DUMMYFUNCTION("""COMPUTED_VALUE"""),30.0)</f>
        <v>30</v>
      </c>
      <c r="W25" s="16">
        <f>IFERROR(__xludf.DUMMYFUNCTION("""COMPUTED_VALUE"""),30.0)</f>
        <v>30</v>
      </c>
      <c r="X25" s="16">
        <f>IFERROR(__xludf.DUMMYFUNCTION("""COMPUTED_VALUE"""),30.0)</f>
        <v>30</v>
      </c>
      <c r="Y25" s="16">
        <f>IFERROR(__xludf.DUMMYFUNCTION("""COMPUTED_VALUE"""),30.0)</f>
        <v>30</v>
      </c>
      <c r="Z25" s="16">
        <f>IFERROR(__xludf.DUMMYFUNCTION("""COMPUTED_VALUE"""),30.0)</f>
        <v>30</v>
      </c>
      <c r="AA25" s="16">
        <f>IFERROR(__xludf.DUMMYFUNCTION("""COMPUTED_VALUE"""),30.0)</f>
        <v>30</v>
      </c>
      <c r="AB25" s="16">
        <f>IFERROR(__xludf.DUMMYFUNCTION("""COMPUTED_VALUE"""),30.0)</f>
        <v>30</v>
      </c>
      <c r="AC25" s="16">
        <f>IFERROR(__xludf.DUMMYFUNCTION("""COMPUTED_VALUE"""),30.0)</f>
        <v>30</v>
      </c>
      <c r="AD25" s="3"/>
      <c r="AE25" s="10">
        <f>IFERROR(__xludf.DUMMYFUNCTION("IMPORTRANGE(""1e7--NjE9N54w7uxIeTVQ2x149gW2CjGTf8gPedLtEqw"",""UP3!AE25:AP25"")"),20.31)</f>
        <v>20.31</v>
      </c>
      <c r="AF25" s="12">
        <f>IFERROR(__xludf.DUMMYFUNCTION("""COMPUTED_VALUE"""),19.89)</f>
        <v>19.89</v>
      </c>
      <c r="AG25" s="12">
        <f>IFERROR(__xludf.DUMMYFUNCTION("""COMPUTED_VALUE"""),19.85)</f>
        <v>19.85</v>
      </c>
      <c r="AH25" s="12">
        <f>IFERROR(__xludf.DUMMYFUNCTION("""COMPUTED_VALUE"""),20.17)</f>
        <v>20.17</v>
      </c>
      <c r="AI25" s="12">
        <f>IFERROR(__xludf.DUMMYFUNCTION("""COMPUTED_VALUE"""),20.7)</f>
        <v>20.7</v>
      </c>
      <c r="AJ25" s="12">
        <f>IFERROR(__xludf.DUMMYFUNCTION("""COMPUTED_VALUE"""),21.25)</f>
        <v>21.25</v>
      </c>
      <c r="AK25" s="12">
        <f>IFERROR(__xludf.DUMMYFUNCTION("""COMPUTED_VALUE"""),21.9)</f>
        <v>21.9</v>
      </c>
      <c r="AL25" s="3"/>
      <c r="AM25" s="3"/>
      <c r="AN25" s="3"/>
      <c r="AO25" s="3"/>
      <c r="AP25" s="3"/>
      <c r="AQ25" s="3"/>
      <c r="AR25" s="9">
        <v>110.0</v>
      </c>
      <c r="AS25" s="9">
        <v>110.0</v>
      </c>
      <c r="AT25" s="9">
        <v>110.0</v>
      </c>
      <c r="AU25" s="9">
        <v>110.0</v>
      </c>
      <c r="AV25" s="9">
        <v>110.0</v>
      </c>
      <c r="AW25" s="9">
        <v>110.0</v>
      </c>
      <c r="AX25" s="9">
        <v>110.0</v>
      </c>
      <c r="AY25" s="9">
        <v>110.0</v>
      </c>
      <c r="AZ25" s="9">
        <v>110.0</v>
      </c>
      <c r="BA25" s="9">
        <v>110.0</v>
      </c>
      <c r="BB25" s="9">
        <v>110.0</v>
      </c>
      <c r="BC25" s="9">
        <v>110.0</v>
      </c>
      <c r="BD25" s="3"/>
      <c r="BE25" s="9" t="s">
        <v>123</v>
      </c>
      <c r="BF25" s="9" t="s">
        <v>123</v>
      </c>
      <c r="BG25" s="9" t="s">
        <v>123</v>
      </c>
      <c r="BH25" s="9" t="s">
        <v>123</v>
      </c>
    </row>
    <row r="26">
      <c r="A26" s="3"/>
      <c r="B26" s="6" t="s">
        <v>88</v>
      </c>
      <c r="C26" s="9">
        <v>3.0</v>
      </c>
      <c r="D26" s="6" t="s">
        <v>144</v>
      </c>
      <c r="E26" s="6" t="s">
        <v>91</v>
      </c>
      <c r="F26" s="9">
        <v>2.0</v>
      </c>
      <c r="G26" s="9" t="s">
        <v>145</v>
      </c>
      <c r="H26" s="9" t="s">
        <v>145</v>
      </c>
      <c r="I26" s="11">
        <v>17.03</v>
      </c>
      <c r="J26" s="11">
        <v>29.73</v>
      </c>
      <c r="K26" s="11">
        <v>110.0</v>
      </c>
      <c r="L26" s="11">
        <v>2.2</v>
      </c>
      <c r="M26" s="3"/>
      <c r="N26" s="6" t="s">
        <v>93</v>
      </c>
      <c r="O26" s="3"/>
      <c r="P26" s="3"/>
      <c r="Q26" s="3"/>
      <c r="R26" s="21">
        <f>IFERROR(__xludf.DUMMYFUNCTION("IMPORTRANGE(""1Oll_sAr-jpBfzl7ZdroBBuuM-sHhVKRxyQNEl9IyQIU"",""rate dispatch!D10:O10"")"),17.03)</f>
        <v>17.03</v>
      </c>
      <c r="S26" s="21">
        <f>IFERROR(__xludf.DUMMYFUNCTION("""COMPUTED_VALUE"""),17.03)</f>
        <v>17.03</v>
      </c>
      <c r="T26" s="21">
        <f>IFERROR(__xludf.DUMMYFUNCTION("""COMPUTED_VALUE"""),17.03)</f>
        <v>17.03</v>
      </c>
      <c r="U26" s="21">
        <f>IFERROR(__xludf.DUMMYFUNCTION("""COMPUTED_VALUE"""),17.03)</f>
        <v>17.03</v>
      </c>
      <c r="V26" s="21">
        <f>IFERROR(__xludf.DUMMYFUNCTION("""COMPUTED_VALUE"""),17.03)</f>
        <v>17.03</v>
      </c>
      <c r="W26" s="21">
        <f>IFERROR(__xludf.DUMMYFUNCTION("""COMPUTED_VALUE"""),17.03)</f>
        <v>17.03</v>
      </c>
      <c r="X26" s="21">
        <f>IFERROR(__xludf.DUMMYFUNCTION("""COMPUTED_VALUE"""),17.03)</f>
        <v>17.03</v>
      </c>
      <c r="Y26" s="21">
        <f>IFERROR(__xludf.DUMMYFUNCTION("""COMPUTED_VALUE"""),17.03)</f>
        <v>17.03</v>
      </c>
      <c r="Z26" s="21">
        <f>IFERROR(__xludf.DUMMYFUNCTION("""COMPUTED_VALUE"""),17.03)</f>
        <v>17.03</v>
      </c>
      <c r="AA26" s="21">
        <f>IFERROR(__xludf.DUMMYFUNCTION("""COMPUTED_VALUE"""),17.03)</f>
        <v>17.03</v>
      </c>
      <c r="AB26" s="21">
        <f>IFERROR(__xludf.DUMMYFUNCTION("""COMPUTED_VALUE"""),17.03)</f>
        <v>17.03</v>
      </c>
      <c r="AC26" s="21">
        <f>IFERROR(__xludf.DUMMYFUNCTION("""COMPUTED_VALUE"""),17.03)</f>
        <v>17.03</v>
      </c>
      <c r="AD26" s="3"/>
      <c r="AE26" s="10">
        <f>IFERROR(__xludf.DUMMYFUNCTION("IMPORTRANGE(""1e7--NjE9N54w7uxIeTVQ2x149gW2CjGTf8gPedLtEqw"",""UP3!AE26:AP26"")"),29.071443277743462)</f>
        <v>29.07144328</v>
      </c>
      <c r="AF26" s="10">
        <f>IFERROR(__xludf.DUMMYFUNCTION("""COMPUTED_VALUE"""),26.889522808462374)</f>
        <v>26.88952281</v>
      </c>
      <c r="AG26" s="10">
        <f>IFERROR(__xludf.DUMMYFUNCTION("""COMPUTED_VALUE"""),24.650201463069095)</f>
        <v>24.65020146</v>
      </c>
      <c r="AH26" s="10">
        <f>IFERROR(__xludf.DUMMYFUNCTION("""COMPUTED_VALUE"""),25.18814997911844)</f>
        <v>25.18814998</v>
      </c>
      <c r="AI26" s="10">
        <f>IFERROR(__xludf.DUMMYFUNCTION("""COMPUTED_VALUE"""),27.95000394938395)</f>
        <v>27.95000395</v>
      </c>
      <c r="AJ26" s="10">
        <f>IFERROR(__xludf.DUMMYFUNCTION("""COMPUTED_VALUE"""),29.728557212721917)</f>
        <v>29.72855721</v>
      </c>
      <c r="AK26" s="10">
        <f>IFERROR(__xludf.DUMMYFUNCTION("""COMPUTED_VALUE"""),30.998952400820468)</f>
        <v>30.9989524</v>
      </c>
      <c r="AL26" s="12">
        <f>IFERROR(__xludf.DUMMYFUNCTION("""COMPUTED_VALUE"""),0.0)</f>
        <v>0</v>
      </c>
      <c r="AM26" s="12">
        <f>IFERROR(__xludf.DUMMYFUNCTION("""COMPUTED_VALUE"""),0.0)</f>
        <v>0</v>
      </c>
      <c r="AN26" s="12">
        <f>IFERROR(__xludf.DUMMYFUNCTION("""COMPUTED_VALUE"""),0.0)</f>
        <v>0</v>
      </c>
      <c r="AO26" s="12">
        <f>IFERROR(__xludf.DUMMYFUNCTION("""COMPUTED_VALUE"""),0.0)</f>
        <v>0</v>
      </c>
      <c r="AP26" s="12">
        <f>IFERROR(__xludf.DUMMYFUNCTION("""COMPUTED_VALUE"""),0.0)</f>
        <v>0</v>
      </c>
      <c r="AQ26" s="3"/>
      <c r="AR26" s="9">
        <v>110.0</v>
      </c>
      <c r="AS26" s="9">
        <v>110.0</v>
      </c>
      <c r="AT26" s="9">
        <v>110.0</v>
      </c>
      <c r="AU26" s="9">
        <v>110.0</v>
      </c>
      <c r="AV26" s="9">
        <v>110.0</v>
      </c>
      <c r="AW26" s="9">
        <v>110.0</v>
      </c>
      <c r="AX26" s="9">
        <v>110.0</v>
      </c>
      <c r="AY26" s="9">
        <v>0.0</v>
      </c>
      <c r="AZ26" s="9">
        <v>0.0</v>
      </c>
      <c r="BA26" s="9">
        <v>0.0</v>
      </c>
      <c r="BB26" s="9">
        <v>0.0</v>
      </c>
      <c r="BC26" s="9">
        <v>0.0</v>
      </c>
      <c r="BD26" s="3"/>
      <c r="BE26" s="9" t="s">
        <v>123</v>
      </c>
      <c r="BF26" s="9" t="s">
        <v>123</v>
      </c>
      <c r="BG26" s="9" t="s">
        <v>123</v>
      </c>
      <c r="BH26" s="9" t="s">
        <v>123</v>
      </c>
    </row>
    <row r="27">
      <c r="A27" s="3"/>
      <c r="B27" s="6" t="s">
        <v>146</v>
      </c>
      <c r="C27" s="9">
        <v>3.0</v>
      </c>
      <c r="D27" s="6" t="s">
        <v>147</v>
      </c>
      <c r="E27" s="6" t="s">
        <v>148</v>
      </c>
      <c r="F27" s="9" t="s">
        <v>149</v>
      </c>
      <c r="G27" s="10">
        <v>1.987646361E9</v>
      </c>
      <c r="H27" s="10">
        <v>4.316323661E9</v>
      </c>
      <c r="I27" s="11">
        <v>198.765</v>
      </c>
      <c r="J27" s="11">
        <v>368.46</v>
      </c>
      <c r="K27" s="11">
        <v>110.0</v>
      </c>
      <c r="L27" s="11">
        <v>1.32</v>
      </c>
      <c r="M27" s="3"/>
      <c r="N27" s="6" t="s">
        <v>93</v>
      </c>
      <c r="O27" s="3"/>
      <c r="P27" s="3"/>
      <c r="Q27" s="3"/>
      <c r="R27" s="10">
        <f>IFERROR(__xludf.DUMMYFUNCTION("IMPORTRANGE(""1Oll_sAr-jpBfzl7ZdroBBuuM-sHhVKRxyQNEl9IyQIU"",""kali transaksi!D10:O10"")"),28.0147969901185)</f>
        <v>28.01479699</v>
      </c>
      <c r="S27" s="10">
        <f>IFERROR(__xludf.DUMMYFUNCTION("""COMPUTED_VALUE"""),55.6511502242382)</f>
        <v>55.65115022</v>
      </c>
      <c r="T27" s="10">
        <f>IFERROR(__xludf.DUMMYFUNCTION("""COMPUTED_VALUE"""),83.5643649430097)</f>
        <v>83.56436494</v>
      </c>
      <c r="U27" s="10">
        <f>IFERROR(__xludf.DUMMYFUNCTION("""COMPUTED_VALUE"""),117.340802134106)</f>
        <v>117.3408021</v>
      </c>
      <c r="V27" s="10">
        <f>IFERROR(__xludf.DUMMYFUNCTION("""COMPUTED_VALUE"""),158.314973989733)</f>
        <v>158.314974</v>
      </c>
      <c r="W27" s="10">
        <f>IFERROR(__xludf.DUMMYFUNCTION("""COMPUTED_VALUE"""),198.764636078273)</f>
        <v>198.7646361</v>
      </c>
      <c r="X27" s="10">
        <f>IFERROR(__xludf.DUMMYFUNCTION("""COMPUTED_VALUE"""),237.246390635621)</f>
        <v>237.2463906</v>
      </c>
      <c r="Y27" s="10">
        <f>IFERROR(__xludf.DUMMYFUNCTION("""COMPUTED_VALUE"""),273.554417373424)</f>
        <v>273.5544174</v>
      </c>
      <c r="Z27" s="10">
        <f>IFERROR(__xludf.DUMMYFUNCTION("""COMPUTED_VALUE"""),312.382746738897)</f>
        <v>312.3827467</v>
      </c>
      <c r="AA27" s="10">
        <f>IFERROR(__xludf.DUMMYFUNCTION("""COMPUTED_VALUE"""),353.372189132046)</f>
        <v>353.3721891</v>
      </c>
      <c r="AB27" s="10">
        <f>IFERROR(__xludf.DUMMYFUNCTION("""COMPUTED_VALUE"""),392.742954547783)</f>
        <v>392.7429545</v>
      </c>
      <c r="AC27" s="10">
        <f>IFERROR(__xludf.DUMMYFUNCTION("""COMPUTED_VALUE"""),431.632366063347)</f>
        <v>431.6323661</v>
      </c>
      <c r="AD27" s="3"/>
      <c r="AE27" s="10">
        <f>IFERROR(__xludf.DUMMYFUNCTION("IMPORTRANGE(""1e7--NjE9N54w7uxIeTVQ2x149gW2CjGTf8gPedLtEqw"",""UP3!AE27:AP27"")"),45.846)</f>
        <v>45.846</v>
      </c>
      <c r="AF27" s="10">
        <f>IFERROR(__xludf.DUMMYFUNCTION("""COMPUTED_VALUE"""),84.574)</f>
        <v>84.574</v>
      </c>
      <c r="AG27" s="10">
        <f>IFERROR(__xludf.DUMMYFUNCTION("""COMPUTED_VALUE"""),145.571)</f>
        <v>145.571</v>
      </c>
      <c r="AH27" s="10">
        <f>IFERROR(__xludf.DUMMYFUNCTION("""COMPUTED_VALUE"""),215.913)</f>
        <v>215.913</v>
      </c>
      <c r="AI27" s="12">
        <f>IFERROR(__xludf.DUMMYFUNCTION("""COMPUTED_VALUE"""),291.54)</f>
        <v>291.54</v>
      </c>
      <c r="AJ27" s="12">
        <f>IFERROR(__xludf.DUMMYFUNCTION("""COMPUTED_VALUE"""),368.46)</f>
        <v>368.46</v>
      </c>
      <c r="AK27" s="12">
        <f>IFERROR(__xludf.DUMMYFUNCTION("""COMPUTED_VALUE"""),0.0)</f>
        <v>0</v>
      </c>
      <c r="AL27" s="12">
        <f>IFERROR(__xludf.DUMMYFUNCTION("""COMPUTED_VALUE"""),0.0)</f>
        <v>0</v>
      </c>
      <c r="AM27" s="12">
        <f>IFERROR(__xludf.DUMMYFUNCTION("""COMPUTED_VALUE"""),0.0)</f>
        <v>0</v>
      </c>
      <c r="AN27" s="12">
        <f>IFERROR(__xludf.DUMMYFUNCTION("""COMPUTED_VALUE"""),0.0)</f>
        <v>0</v>
      </c>
      <c r="AO27" s="12">
        <f>IFERROR(__xludf.DUMMYFUNCTION("""COMPUTED_VALUE"""),0.0)</f>
        <v>0</v>
      </c>
      <c r="AP27" s="12">
        <f>IFERROR(__xludf.DUMMYFUNCTION("""COMPUTED_VALUE"""),0.0)</f>
        <v>0</v>
      </c>
      <c r="AQ27" s="3"/>
      <c r="AR27" s="9">
        <v>110.0</v>
      </c>
      <c r="AS27" s="9">
        <v>110.0</v>
      </c>
      <c r="AT27" s="9">
        <v>110.0</v>
      </c>
      <c r="AU27" s="9">
        <v>110.0</v>
      </c>
      <c r="AV27" s="9">
        <v>110.0</v>
      </c>
      <c r="AW27" s="9">
        <v>110.0</v>
      </c>
      <c r="AX27" s="9">
        <v>0.0</v>
      </c>
      <c r="AY27" s="9">
        <v>0.0</v>
      </c>
      <c r="AZ27" s="9">
        <v>0.0</v>
      </c>
      <c r="BA27" s="9">
        <v>0.0</v>
      </c>
      <c r="BB27" s="9">
        <v>0.0</v>
      </c>
      <c r="BC27" s="9">
        <v>0.0</v>
      </c>
      <c r="BD27" s="3"/>
      <c r="BE27" s="9" t="s">
        <v>150</v>
      </c>
      <c r="BF27" s="9" t="s">
        <v>150</v>
      </c>
      <c r="BG27" s="9" t="s">
        <v>150</v>
      </c>
      <c r="BH27" s="9" t="s">
        <v>150</v>
      </c>
    </row>
    <row r="28">
      <c r="A28" s="3"/>
      <c r="F28" s="9" t="s">
        <v>151</v>
      </c>
      <c r="G28" s="10">
        <v>4.493071165E9</v>
      </c>
      <c r="H28" s="10">
        <v>9.79748263E8</v>
      </c>
      <c r="I28" s="11">
        <v>44.93</v>
      </c>
      <c r="J28" s="11">
        <v>52.25</v>
      </c>
      <c r="K28" s="11">
        <v>110.0</v>
      </c>
      <c r="L28" s="11">
        <v>0.88</v>
      </c>
      <c r="M28" s="3"/>
      <c r="N28" s="6" t="s">
        <v>93</v>
      </c>
      <c r="O28" s="3"/>
      <c r="P28" s="3"/>
      <c r="Q28" s="3"/>
      <c r="R28" s="10">
        <f>IFERROR(__xludf.DUMMYFUNCTION("IMPORTRANGE(""1Oll_sAr-jpBfzl7ZdroBBuuM-sHhVKRxyQNEl9IyQIU"",""rP transaksi!D10:O10"")"),6.30215896637021)</f>
        <v>6.302158966</v>
      </c>
      <c r="S28" s="10">
        <f>IFERROR(__xludf.DUMMYFUNCTION("""COMPUTED_VALUE"""),12.5056698195896)</f>
        <v>12.50566982</v>
      </c>
      <c r="T28" s="10">
        <f>IFERROR(__xludf.DUMMYFUNCTION("""COMPUTED_VALUE"""),18.7695554743002)</f>
        <v>18.76955547</v>
      </c>
      <c r="U28" s="10">
        <f>IFERROR(__xludf.DUMMYFUNCTION("""COMPUTED_VALUE"""),26.4118194094838)</f>
        <v>26.41181941</v>
      </c>
      <c r="V28" s="10">
        <f>IFERROR(__xludf.DUMMYFUNCTION("""COMPUTED_VALUE"""),35.7386481184169)</f>
        <v>35.73864812</v>
      </c>
      <c r="W28" s="10">
        <f>IFERROR(__xludf.DUMMYFUNCTION("""COMPUTED_VALUE"""),44.9307116454501)</f>
        <v>44.93071165</v>
      </c>
      <c r="X28" s="10">
        <f>IFERROR(__xludf.DUMMYFUNCTION("""COMPUTED_VALUE"""),53.6742766471201)</f>
        <v>53.67427665</v>
      </c>
      <c r="Y28" s="10">
        <f>IFERROR(__xludf.DUMMYFUNCTION("""COMPUTED_VALUE"""),61.9170542328499)</f>
        <v>61.91705423</v>
      </c>
      <c r="Z28" s="10">
        <f>IFERROR(__xludf.DUMMYFUNCTION("""COMPUTED_VALUE"""),70.7474080116636)</f>
        <v>70.74740801</v>
      </c>
      <c r="AA28" s="10">
        <f>IFERROR(__xludf.DUMMYFUNCTION("""COMPUTED_VALUE"""),80.0715414169587)</f>
        <v>80.07154142</v>
      </c>
      <c r="AB28" s="10">
        <f>IFERROR(__xludf.DUMMYFUNCTION("""COMPUTED_VALUE"""),89.0177932522063)</f>
        <v>89.01779325</v>
      </c>
      <c r="AC28" s="10">
        <f>IFERROR(__xludf.DUMMYFUNCTION("""COMPUTED_VALUE"""),97.9748263020059)</f>
        <v>97.9748263</v>
      </c>
      <c r="AD28" s="3"/>
      <c r="AE28" s="10">
        <f>IFERROR(__xludf.DUMMYFUNCTION("IMPORTRANGE(""1e7--NjE9N54w7uxIeTVQ2x149gW2CjGTf8gPedLtEqw"",""UP3!AE28:AP28"")"),6.44145736)</f>
        <v>6.44145736</v>
      </c>
      <c r="AF28" s="10">
        <f>IFERROR(__xludf.DUMMYFUNCTION("""COMPUTED_VALUE"""),13.773008457)</f>
        <v>13.77300846</v>
      </c>
      <c r="AG28" s="10">
        <f>IFERROR(__xludf.DUMMYFUNCTION("""COMPUTED_VALUE"""),22.410026206)</f>
        <v>22.41002621</v>
      </c>
      <c r="AH28" s="10">
        <f>IFERROR(__xludf.DUMMYFUNCTION("""COMPUTED_VALUE"""),31.219511033)</f>
        <v>31.21951103</v>
      </c>
      <c r="AI28" s="10">
        <f>IFERROR(__xludf.DUMMYFUNCTION("""COMPUTED_VALUE"""),41.841863326)</f>
        <v>41.84186333</v>
      </c>
      <c r="AJ28" s="10">
        <f>IFERROR(__xludf.DUMMYFUNCTION("""COMPUTED_VALUE"""),52.248012803)</f>
        <v>52.2480128</v>
      </c>
      <c r="AK28" s="12">
        <f>IFERROR(__xludf.DUMMYFUNCTION("""COMPUTED_VALUE"""),0.0)</f>
        <v>0</v>
      </c>
      <c r="AL28" s="12">
        <f>IFERROR(__xludf.DUMMYFUNCTION("""COMPUTED_VALUE"""),0.0)</f>
        <v>0</v>
      </c>
      <c r="AM28" s="12">
        <f>IFERROR(__xludf.DUMMYFUNCTION("""COMPUTED_VALUE"""),0.0)</f>
        <v>0</v>
      </c>
      <c r="AN28" s="12">
        <f>IFERROR(__xludf.DUMMYFUNCTION("""COMPUTED_VALUE"""),0.0)</f>
        <v>0</v>
      </c>
      <c r="AO28" s="12">
        <f>IFERROR(__xludf.DUMMYFUNCTION("""COMPUTED_VALUE"""),0.0)</f>
        <v>0</v>
      </c>
      <c r="AP28" s="12">
        <f>IFERROR(__xludf.DUMMYFUNCTION("""COMPUTED_VALUE"""),0.0)</f>
        <v>0</v>
      </c>
      <c r="AQ28" s="3"/>
      <c r="AR28" s="10">
        <v>1.022103281E9</v>
      </c>
      <c r="AS28" s="9">
        <v>110.0</v>
      </c>
      <c r="AT28" s="9">
        <v>110.0</v>
      </c>
      <c r="AU28" s="9">
        <v>110.0</v>
      </c>
      <c r="AV28" s="9">
        <v>110.0</v>
      </c>
      <c r="AW28" s="9">
        <v>110.0</v>
      </c>
      <c r="AX28" s="9">
        <v>0.0</v>
      </c>
      <c r="AY28" s="9">
        <v>0.0</v>
      </c>
      <c r="AZ28" s="9">
        <v>0.0</v>
      </c>
      <c r="BA28" s="9">
        <v>0.0</v>
      </c>
      <c r="BB28" s="9">
        <v>0.0</v>
      </c>
      <c r="BC28" s="9">
        <v>0.0</v>
      </c>
      <c r="BD28" s="3"/>
      <c r="BE28" s="10">
        <v>8.17682625E8</v>
      </c>
      <c r="BF28" s="9" t="s">
        <v>152</v>
      </c>
      <c r="BG28" s="9" t="s">
        <v>152</v>
      </c>
      <c r="BH28" s="9" t="s">
        <v>152</v>
      </c>
    </row>
    <row r="29">
      <c r="A29" s="9">
        <v>7.0</v>
      </c>
      <c r="B29" s="6" t="s">
        <v>94</v>
      </c>
      <c r="C29" s="3"/>
      <c r="D29" s="3"/>
      <c r="E29" s="6" t="s">
        <v>91</v>
      </c>
      <c r="F29" s="9">
        <v>7.0</v>
      </c>
      <c r="G29" s="3"/>
      <c r="H29" s="3"/>
      <c r="I29" s="14"/>
      <c r="J29" s="14"/>
      <c r="K29" s="14"/>
      <c r="L29" s="11">
        <v>7.7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10" t="str">
        <f>IFERROR(__xludf.DUMMYFUNCTION("IMPORTRANGE(""1e7--NjE9N54w7uxIeTVQ2x149gW2CjGTf8gPedLtEqw"",""UP3!AE29:AP29"")"),"")</f>
        <v/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9" t="s">
        <v>153</v>
      </c>
      <c r="BF29" s="9" t="s">
        <v>153</v>
      </c>
      <c r="BG29" s="9" t="s">
        <v>153</v>
      </c>
      <c r="BH29" s="9" t="s">
        <v>153</v>
      </c>
    </row>
    <row r="30">
      <c r="A30" s="3"/>
      <c r="B30" s="6" t="s">
        <v>95</v>
      </c>
      <c r="C30" s="9">
        <v>1.0</v>
      </c>
      <c r="D30" s="6" t="s">
        <v>154</v>
      </c>
      <c r="E30" s="6" t="s">
        <v>155</v>
      </c>
      <c r="F30" s="9">
        <v>5.0</v>
      </c>
      <c r="G30" s="9">
        <v>1075.0</v>
      </c>
      <c r="H30" s="9">
        <v>2168.0</v>
      </c>
      <c r="I30" s="11">
        <v>1075.0</v>
      </c>
      <c r="J30" s="11">
        <v>715.0</v>
      </c>
      <c r="K30" s="11">
        <v>110.0</v>
      </c>
      <c r="L30" s="11">
        <v>5.5</v>
      </c>
      <c r="M30" s="3"/>
      <c r="N30" s="6" t="s">
        <v>93</v>
      </c>
      <c r="O30" s="3"/>
      <c r="P30" s="3"/>
      <c r="Q30" s="3"/>
      <c r="R30" s="20">
        <f>IFERROR(__xludf.DUMMYFUNCTION("IMPORTRANGE(""1Oll_sAr-jpBfzl7ZdroBBuuM-sHhVKRxyQNEl9IyQIU"",""ggn TM!D10:O10"")"),184.0)</f>
        <v>184</v>
      </c>
      <c r="S30" s="20">
        <f>IFERROR(__xludf.DUMMYFUNCTION("""COMPUTED_VALUE"""),350.0)</f>
        <v>350</v>
      </c>
      <c r="T30" s="20">
        <f>IFERROR(__xludf.DUMMYFUNCTION("""COMPUTED_VALUE"""),535.0)</f>
        <v>535</v>
      </c>
      <c r="U30" s="20">
        <f>IFERROR(__xludf.DUMMYFUNCTION("""COMPUTED_VALUE"""),713.0)</f>
        <v>713</v>
      </c>
      <c r="V30" s="20">
        <f>IFERROR(__xludf.DUMMYFUNCTION("""COMPUTED_VALUE"""),897.0)</f>
        <v>897</v>
      </c>
      <c r="W30" s="20">
        <f>IFERROR(__xludf.DUMMYFUNCTION("""COMPUTED_VALUE"""),1075.0)</f>
        <v>1075</v>
      </c>
      <c r="X30" s="20">
        <f>IFERROR(__xludf.DUMMYFUNCTION("""COMPUTED_VALUE"""),1259.0)</f>
        <v>1259</v>
      </c>
      <c r="Y30" s="20">
        <f>IFERROR(__xludf.DUMMYFUNCTION("""COMPUTED_VALUE"""),1443.0)</f>
        <v>1443</v>
      </c>
      <c r="Z30" s="20">
        <f>IFERROR(__xludf.DUMMYFUNCTION("""COMPUTED_VALUE"""),1621.0)</f>
        <v>1621</v>
      </c>
      <c r="AA30" s="20">
        <f>IFERROR(__xludf.DUMMYFUNCTION("""COMPUTED_VALUE"""),1806.0)</f>
        <v>1806</v>
      </c>
      <c r="AB30" s="20">
        <f>IFERROR(__xludf.DUMMYFUNCTION("""COMPUTED_VALUE"""),1984.0)</f>
        <v>1984</v>
      </c>
      <c r="AC30" s="20">
        <f>IFERROR(__xludf.DUMMYFUNCTION("""COMPUTED_VALUE"""),2168.0)</f>
        <v>2168</v>
      </c>
      <c r="AD30" s="3"/>
      <c r="AE30" s="10">
        <f>IFERROR(__xludf.DUMMYFUNCTION("IMPORTRANGE(""1e7--NjE9N54w7uxIeTVQ2x149gW2CjGTf8gPedLtEqw"",""UP3!AE30:AP30"")"),110.0)</f>
        <v>110</v>
      </c>
      <c r="AF30" s="12">
        <f>IFERROR(__xludf.DUMMYFUNCTION("""COMPUTED_VALUE"""),198.0)</f>
        <v>198</v>
      </c>
      <c r="AG30" s="12">
        <f>IFERROR(__xludf.DUMMYFUNCTION("""COMPUTED_VALUE"""),316.0)</f>
        <v>316</v>
      </c>
      <c r="AH30" s="12">
        <f>IFERROR(__xludf.DUMMYFUNCTION("""COMPUTED_VALUE"""),455.0)</f>
        <v>455</v>
      </c>
      <c r="AI30" s="12">
        <f>IFERROR(__xludf.DUMMYFUNCTION("""COMPUTED_VALUE"""),535.0)</f>
        <v>535</v>
      </c>
      <c r="AJ30" s="12">
        <f>IFERROR(__xludf.DUMMYFUNCTION("""COMPUTED_VALUE"""),715.0)</f>
        <v>715</v>
      </c>
      <c r="AK30" s="12">
        <f>IFERROR(__xludf.DUMMYFUNCTION("""COMPUTED_VALUE"""),779.0)</f>
        <v>779</v>
      </c>
      <c r="AL30" s="3"/>
      <c r="AM30" s="3"/>
      <c r="AN30" s="3"/>
      <c r="AO30" s="3"/>
      <c r="AP30" s="3"/>
      <c r="AQ30" s="3"/>
      <c r="AR30" s="9">
        <v>110.0</v>
      </c>
      <c r="AS30" s="9">
        <v>110.0</v>
      </c>
      <c r="AT30" s="9">
        <v>110.0</v>
      </c>
      <c r="AU30" s="9">
        <v>110.0</v>
      </c>
      <c r="AV30" s="9">
        <v>110.0</v>
      </c>
      <c r="AW30" s="9">
        <v>110.0</v>
      </c>
      <c r="AX30" s="9">
        <v>110.0</v>
      </c>
      <c r="AY30" s="9">
        <v>110.0</v>
      </c>
      <c r="AZ30" s="9">
        <v>110.0</v>
      </c>
      <c r="BA30" s="9">
        <v>110.0</v>
      </c>
      <c r="BB30" s="9">
        <v>110.0</v>
      </c>
      <c r="BC30" s="9">
        <v>110.0</v>
      </c>
      <c r="BD30" s="3"/>
      <c r="BE30" s="9" t="s">
        <v>114</v>
      </c>
      <c r="BF30" s="9" t="s">
        <v>114</v>
      </c>
      <c r="BG30" s="9" t="s">
        <v>114</v>
      </c>
      <c r="BH30" s="9" t="s">
        <v>114</v>
      </c>
    </row>
    <row r="31">
      <c r="A31" s="3"/>
      <c r="B31" s="6" t="s">
        <v>96</v>
      </c>
      <c r="C31" s="9">
        <v>1.0</v>
      </c>
      <c r="D31" s="6" t="s">
        <v>156</v>
      </c>
      <c r="E31" s="6" t="s">
        <v>157</v>
      </c>
      <c r="F31" s="9">
        <v>2.0</v>
      </c>
      <c r="G31" s="9">
        <v>27.0</v>
      </c>
      <c r="H31" s="9">
        <v>52.0</v>
      </c>
      <c r="I31" s="11">
        <v>27.0</v>
      </c>
      <c r="J31" s="11">
        <v>22.0</v>
      </c>
      <c r="K31" s="11">
        <v>110.0</v>
      </c>
      <c r="L31" s="11">
        <v>2.2</v>
      </c>
      <c r="M31" s="3"/>
      <c r="N31" s="6" t="s">
        <v>93</v>
      </c>
      <c r="O31" s="3"/>
      <c r="P31" s="3"/>
      <c r="Q31" s="3"/>
      <c r="R31" s="16">
        <f>IFERROR(__xludf.DUMMYFUNCTION("IMPORTRANGE(""1Oll_sAr-jpBfzl7ZdroBBuuM-sHhVKRxyQNEl9IyQIU"",""rusak alat dist!D10:O10"")"),5.0)</f>
        <v>5</v>
      </c>
      <c r="S31" s="16">
        <f>IFERROR(__xludf.DUMMYFUNCTION("""COMPUTED_VALUE"""),10.0)</f>
        <v>10</v>
      </c>
      <c r="T31" s="16">
        <f>IFERROR(__xludf.DUMMYFUNCTION("""COMPUTED_VALUE"""),14.0)</f>
        <v>14</v>
      </c>
      <c r="U31" s="16">
        <f>IFERROR(__xludf.DUMMYFUNCTION("""COMPUTED_VALUE"""),19.0)</f>
        <v>19</v>
      </c>
      <c r="V31" s="16">
        <f>IFERROR(__xludf.DUMMYFUNCTION("""COMPUTED_VALUE"""),23.0)</f>
        <v>23</v>
      </c>
      <c r="W31" s="16">
        <f>IFERROR(__xludf.DUMMYFUNCTION("""COMPUTED_VALUE"""),27.0)</f>
        <v>27</v>
      </c>
      <c r="X31" s="16">
        <f>IFERROR(__xludf.DUMMYFUNCTION("""COMPUTED_VALUE"""),31.0)</f>
        <v>31</v>
      </c>
      <c r="Y31" s="16">
        <f>IFERROR(__xludf.DUMMYFUNCTION("""COMPUTED_VALUE"""),36.0)</f>
        <v>36</v>
      </c>
      <c r="Z31" s="16">
        <f>IFERROR(__xludf.DUMMYFUNCTION("""COMPUTED_VALUE"""),40.0)</f>
        <v>40</v>
      </c>
      <c r="AA31" s="16">
        <f>IFERROR(__xludf.DUMMYFUNCTION("""COMPUTED_VALUE"""),44.0)</f>
        <v>44</v>
      </c>
      <c r="AB31" s="16">
        <f>IFERROR(__xludf.DUMMYFUNCTION("""COMPUTED_VALUE"""),48.0)</f>
        <v>48</v>
      </c>
      <c r="AC31" s="16">
        <f>IFERROR(__xludf.DUMMYFUNCTION("""COMPUTED_VALUE"""),52.0)</f>
        <v>52</v>
      </c>
      <c r="AD31" s="3"/>
      <c r="AE31" s="10">
        <f>IFERROR(__xludf.DUMMYFUNCTION("IMPORTRANGE(""1e7--NjE9N54w7uxIeTVQ2x149gW2CjGTf8gPedLtEqw"",""UP3!AE31:AP31"")"),3.0)</f>
        <v>3</v>
      </c>
      <c r="AF31" s="12">
        <f>IFERROR(__xludf.DUMMYFUNCTION("""COMPUTED_VALUE"""),8.0)</f>
        <v>8</v>
      </c>
      <c r="AG31" s="12">
        <f>IFERROR(__xludf.DUMMYFUNCTION("""COMPUTED_VALUE"""),11.0)</f>
        <v>11</v>
      </c>
      <c r="AH31" s="12">
        <f>IFERROR(__xludf.DUMMYFUNCTION("""COMPUTED_VALUE"""),17.0)</f>
        <v>17</v>
      </c>
      <c r="AI31" s="12">
        <f>IFERROR(__xludf.DUMMYFUNCTION("""COMPUTED_VALUE"""),20.0)</f>
        <v>20</v>
      </c>
      <c r="AJ31" s="12">
        <f>IFERROR(__xludf.DUMMYFUNCTION("""COMPUTED_VALUE"""),22.0)</f>
        <v>22</v>
      </c>
      <c r="AK31" s="12">
        <f>IFERROR(__xludf.DUMMYFUNCTION("""COMPUTED_VALUE"""),22.0)</f>
        <v>22</v>
      </c>
      <c r="AL31" s="3"/>
      <c r="AM31" s="3"/>
      <c r="AN31" s="3"/>
      <c r="AO31" s="3"/>
      <c r="AP31" s="3"/>
      <c r="AQ31" s="3"/>
      <c r="AR31" s="9">
        <v>110.0</v>
      </c>
      <c r="AS31" s="9">
        <v>110.0</v>
      </c>
      <c r="AT31" s="9">
        <v>110.0</v>
      </c>
      <c r="AU31" s="9">
        <v>110.0</v>
      </c>
      <c r="AV31" s="9">
        <v>110.0</v>
      </c>
      <c r="AW31" s="9">
        <v>110.0</v>
      </c>
      <c r="AX31" s="9">
        <v>110.0</v>
      </c>
      <c r="AY31" s="9">
        <v>110.0</v>
      </c>
      <c r="AZ31" s="9">
        <v>110.0</v>
      </c>
      <c r="BA31" s="9">
        <v>110.0</v>
      </c>
      <c r="BB31" s="9">
        <v>110.0</v>
      </c>
      <c r="BC31" s="9">
        <v>110.0</v>
      </c>
      <c r="BD31" s="3"/>
      <c r="BE31" s="9" t="s">
        <v>123</v>
      </c>
      <c r="BF31" s="9" t="s">
        <v>123</v>
      </c>
      <c r="BG31" s="9" t="s">
        <v>123</v>
      </c>
      <c r="BH31" s="9" t="s">
        <v>123</v>
      </c>
    </row>
    <row r="32">
      <c r="A32" s="9">
        <v>8.0</v>
      </c>
      <c r="B32" s="6" t="s">
        <v>97</v>
      </c>
      <c r="C32" s="3"/>
      <c r="D32" s="3"/>
      <c r="E32" s="6" t="s">
        <v>91</v>
      </c>
      <c r="F32" s="9">
        <v>6.0</v>
      </c>
      <c r="G32" s="3"/>
      <c r="H32" s="3"/>
      <c r="I32" s="14"/>
      <c r="J32" s="14"/>
      <c r="K32" s="14"/>
      <c r="L32" s="11">
        <v>6.6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10" t="str">
        <f>IFERROR(__xludf.DUMMYFUNCTION("IMPORTRANGE(""1e7--NjE9N54w7uxIeTVQ2x149gW2CjGTf8gPedLtEqw"",""UP3!AE32:AP32"")"),"")</f>
        <v/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9" t="s">
        <v>158</v>
      </c>
      <c r="BF32" s="9" t="s">
        <v>158</v>
      </c>
      <c r="BG32" s="9" t="s">
        <v>158</v>
      </c>
      <c r="BH32" s="9" t="s">
        <v>158</v>
      </c>
    </row>
    <row r="33">
      <c r="A33" s="3"/>
      <c r="B33" s="6" t="s">
        <v>98</v>
      </c>
      <c r="C33" s="9">
        <v>3.0</v>
      </c>
      <c r="D33" s="6" t="s">
        <v>159</v>
      </c>
      <c r="E33" s="6" t="s">
        <v>91</v>
      </c>
      <c r="F33" s="9">
        <v>4.0</v>
      </c>
      <c r="G33" s="9">
        <v>100.0</v>
      </c>
      <c r="H33" s="9">
        <v>100.0</v>
      </c>
      <c r="I33" s="11">
        <v>100.0</v>
      </c>
      <c r="J33" s="11">
        <v>110.0</v>
      </c>
      <c r="K33" s="11">
        <v>110.0</v>
      </c>
      <c r="L33" s="11">
        <v>4.4</v>
      </c>
      <c r="M33" s="3"/>
      <c r="N33" s="6" t="s">
        <v>93</v>
      </c>
      <c r="O33" s="3"/>
      <c r="P33" s="3"/>
      <c r="Q33" s="3"/>
      <c r="R33" s="20">
        <f>IFERROR(__xludf.DUMMYFUNCTION("IMPORTRANGE(""1Oll_sAr-jpBfzl7ZdroBBuuM-sHhVKRxyQNEl9IyQIU"",""MVOD!D10:O10"")"),100.0)</f>
        <v>100</v>
      </c>
      <c r="S33" s="20">
        <f>IFERROR(__xludf.DUMMYFUNCTION("""COMPUTED_VALUE"""),100.0)</f>
        <v>100</v>
      </c>
      <c r="T33" s="20">
        <f>IFERROR(__xludf.DUMMYFUNCTION("""COMPUTED_VALUE"""),100.0)</f>
        <v>100</v>
      </c>
      <c r="U33" s="20">
        <f>IFERROR(__xludf.DUMMYFUNCTION("""COMPUTED_VALUE"""),100.0)</f>
        <v>100</v>
      </c>
      <c r="V33" s="20">
        <f>IFERROR(__xludf.DUMMYFUNCTION("""COMPUTED_VALUE"""),100.0)</f>
        <v>100</v>
      </c>
      <c r="W33" s="20">
        <f>IFERROR(__xludf.DUMMYFUNCTION("""COMPUTED_VALUE"""),100.0)</f>
        <v>100</v>
      </c>
      <c r="X33" s="20">
        <f>IFERROR(__xludf.DUMMYFUNCTION("""COMPUTED_VALUE"""),100.0)</f>
        <v>100</v>
      </c>
      <c r="Y33" s="20">
        <f>IFERROR(__xludf.DUMMYFUNCTION("""COMPUTED_VALUE"""),100.0)</f>
        <v>100</v>
      </c>
      <c r="Z33" s="20">
        <f>IFERROR(__xludf.DUMMYFUNCTION("""COMPUTED_VALUE"""),100.0)</f>
        <v>100</v>
      </c>
      <c r="AA33" s="20">
        <f>IFERROR(__xludf.DUMMYFUNCTION("""COMPUTED_VALUE"""),100.0)</f>
        <v>100</v>
      </c>
      <c r="AB33" s="20">
        <f>IFERROR(__xludf.DUMMYFUNCTION("""COMPUTED_VALUE"""),100.0)</f>
        <v>100</v>
      </c>
      <c r="AC33" s="20">
        <f>IFERROR(__xludf.DUMMYFUNCTION("""COMPUTED_VALUE"""),100.0)</f>
        <v>100</v>
      </c>
      <c r="AD33" s="3"/>
      <c r="AE33" s="10">
        <f>IFERROR(__xludf.DUMMYFUNCTION("IMPORTRANGE(""1e7--NjE9N54w7uxIeTVQ2x149gW2CjGTf8gPedLtEqw"",""UP3!AE33:AP33"")"),110.0)</f>
        <v>110</v>
      </c>
      <c r="AF33" s="12">
        <f>IFERROR(__xludf.DUMMYFUNCTION("""COMPUTED_VALUE"""),110.0)</f>
        <v>110</v>
      </c>
      <c r="AG33" s="12">
        <f>IFERROR(__xludf.DUMMYFUNCTION("""COMPUTED_VALUE"""),110.0)</f>
        <v>110</v>
      </c>
      <c r="AH33" s="12">
        <f>IFERROR(__xludf.DUMMYFUNCTION("""COMPUTED_VALUE"""),110.0)</f>
        <v>110</v>
      </c>
      <c r="AI33" s="12">
        <f>IFERROR(__xludf.DUMMYFUNCTION("""COMPUTED_VALUE"""),110.0)</f>
        <v>110</v>
      </c>
      <c r="AJ33" s="12">
        <f>IFERROR(__xludf.DUMMYFUNCTION("""COMPUTED_VALUE"""),110.0)</f>
        <v>110</v>
      </c>
      <c r="AK33" s="12">
        <f>IFERROR(__xludf.DUMMYFUNCTION("""COMPUTED_VALUE"""),110.0)</f>
        <v>110</v>
      </c>
      <c r="AL33" s="12">
        <f>IFERROR(__xludf.DUMMYFUNCTION("""COMPUTED_VALUE"""),0.0)</f>
        <v>0</v>
      </c>
      <c r="AM33" s="12">
        <f>IFERROR(__xludf.DUMMYFUNCTION("""COMPUTED_VALUE"""),0.0)</f>
        <v>0</v>
      </c>
      <c r="AN33" s="12">
        <f>IFERROR(__xludf.DUMMYFUNCTION("""COMPUTED_VALUE"""),0.0)</f>
        <v>0</v>
      </c>
      <c r="AO33" s="12">
        <f>IFERROR(__xludf.DUMMYFUNCTION("""COMPUTED_VALUE"""),0.0)</f>
        <v>0</v>
      </c>
      <c r="AP33" s="12">
        <f>IFERROR(__xludf.DUMMYFUNCTION("""COMPUTED_VALUE"""),0.0)</f>
        <v>0</v>
      </c>
      <c r="AQ33" s="3"/>
      <c r="AR33" s="9">
        <v>110.0</v>
      </c>
      <c r="AS33" s="9">
        <v>110.0</v>
      </c>
      <c r="AT33" s="9">
        <v>110.0</v>
      </c>
      <c r="AU33" s="9">
        <v>110.0</v>
      </c>
      <c r="AV33" s="9">
        <v>110.0</v>
      </c>
      <c r="AW33" s="9">
        <v>110.0</v>
      </c>
      <c r="AX33" s="9">
        <v>110.0</v>
      </c>
      <c r="AY33" s="9">
        <v>0.0</v>
      </c>
      <c r="AZ33" s="9">
        <v>0.0</v>
      </c>
      <c r="BA33" s="9">
        <v>0.0</v>
      </c>
      <c r="BB33" s="9">
        <v>0.0</v>
      </c>
      <c r="BC33" s="9">
        <v>0.0</v>
      </c>
      <c r="BD33" s="3"/>
      <c r="BE33" s="9" t="s">
        <v>136</v>
      </c>
      <c r="BF33" s="9" t="s">
        <v>136</v>
      </c>
      <c r="BG33" s="9" t="s">
        <v>136</v>
      </c>
      <c r="BH33" s="9" t="s">
        <v>136</v>
      </c>
    </row>
    <row r="34">
      <c r="A34" s="3"/>
      <c r="B34" s="6" t="s">
        <v>99</v>
      </c>
      <c r="C34" s="9">
        <v>3.0</v>
      </c>
      <c r="D34" s="6" t="s">
        <v>160</v>
      </c>
      <c r="E34" s="6" t="s">
        <v>91</v>
      </c>
      <c r="F34" s="9">
        <v>2.0</v>
      </c>
      <c r="G34" s="9">
        <v>100.0</v>
      </c>
      <c r="H34" s="9">
        <v>100.0</v>
      </c>
      <c r="I34" s="11">
        <v>100.0</v>
      </c>
      <c r="J34" s="11">
        <v>110.0</v>
      </c>
      <c r="K34" s="11">
        <v>110.0</v>
      </c>
      <c r="L34" s="11">
        <v>2.2</v>
      </c>
      <c r="M34" s="3"/>
      <c r="N34" s="6" t="s">
        <v>93</v>
      </c>
      <c r="O34" s="3"/>
      <c r="P34" s="3"/>
      <c r="Q34" s="3"/>
      <c r="R34" s="20">
        <f>IFERROR(__xludf.DUMMYFUNCTION("IMPORTRANGE(""1Oll_sAr-jpBfzl7ZdroBBuuM-sHhVKRxyQNEl9IyQIU"",""MTTR siaga 1!D10:O10"")"),100.0)</f>
        <v>100</v>
      </c>
      <c r="S34" s="20">
        <f>IFERROR(__xludf.DUMMYFUNCTION("""COMPUTED_VALUE"""),100.0)</f>
        <v>100</v>
      </c>
      <c r="T34" s="20">
        <f>IFERROR(__xludf.DUMMYFUNCTION("""COMPUTED_VALUE"""),100.0)</f>
        <v>100</v>
      </c>
      <c r="U34" s="20">
        <f>IFERROR(__xludf.DUMMYFUNCTION("""COMPUTED_VALUE"""),100.0)</f>
        <v>100</v>
      </c>
      <c r="V34" s="20">
        <f>IFERROR(__xludf.DUMMYFUNCTION("""COMPUTED_VALUE"""),100.0)</f>
        <v>100</v>
      </c>
      <c r="W34" s="20">
        <f>IFERROR(__xludf.DUMMYFUNCTION("""COMPUTED_VALUE"""),100.0)</f>
        <v>100</v>
      </c>
      <c r="X34" s="20">
        <f>IFERROR(__xludf.DUMMYFUNCTION("""COMPUTED_VALUE"""),100.0)</f>
        <v>100</v>
      </c>
      <c r="Y34" s="20">
        <f>IFERROR(__xludf.DUMMYFUNCTION("""COMPUTED_VALUE"""),100.0)</f>
        <v>100</v>
      </c>
      <c r="Z34" s="20">
        <f>IFERROR(__xludf.DUMMYFUNCTION("""COMPUTED_VALUE"""),100.0)</f>
        <v>100</v>
      </c>
      <c r="AA34" s="20">
        <f>IFERROR(__xludf.DUMMYFUNCTION("""COMPUTED_VALUE"""),100.0)</f>
        <v>100</v>
      </c>
      <c r="AB34" s="20">
        <f>IFERROR(__xludf.DUMMYFUNCTION("""COMPUTED_VALUE"""),100.0)</f>
        <v>100</v>
      </c>
      <c r="AC34" s="20">
        <f>IFERROR(__xludf.DUMMYFUNCTION("""COMPUTED_VALUE"""),100.0)</f>
        <v>100</v>
      </c>
      <c r="AD34" s="3"/>
      <c r="AE34" s="10">
        <f>IFERROR(__xludf.DUMMYFUNCTION("IMPORTRANGE(""1e7--NjE9N54w7uxIeTVQ2x149gW2CjGTf8gPedLtEqw"",""UP3!AE34:AP34"")"),110.00000000000001)</f>
        <v>110</v>
      </c>
      <c r="AF34" s="12">
        <f>IFERROR(__xludf.DUMMYFUNCTION("""COMPUTED_VALUE"""),110.00000000000001)</f>
        <v>110</v>
      </c>
      <c r="AG34" s="12">
        <f>IFERROR(__xludf.DUMMYFUNCTION("""COMPUTED_VALUE"""),110.00000000000001)</f>
        <v>110</v>
      </c>
      <c r="AH34" s="12">
        <f>IFERROR(__xludf.DUMMYFUNCTION("""COMPUTED_VALUE"""),110.00000000000001)</f>
        <v>110</v>
      </c>
      <c r="AI34" s="12">
        <f>IFERROR(__xludf.DUMMYFUNCTION("""COMPUTED_VALUE"""),110.00000000000001)</f>
        <v>110</v>
      </c>
      <c r="AJ34" s="12">
        <f>IFERROR(__xludf.DUMMYFUNCTION("""COMPUTED_VALUE"""),110.00000000000001)</f>
        <v>110</v>
      </c>
      <c r="AK34" s="12">
        <f>IFERROR(__xludf.DUMMYFUNCTION("""COMPUTED_VALUE"""),110.00000000000001)</f>
        <v>110</v>
      </c>
      <c r="AL34" s="12">
        <f>IFERROR(__xludf.DUMMYFUNCTION("""COMPUTED_VALUE"""),0.0)</f>
        <v>0</v>
      </c>
      <c r="AM34" s="12">
        <f>IFERROR(__xludf.DUMMYFUNCTION("""COMPUTED_VALUE"""),0.0)</f>
        <v>0</v>
      </c>
      <c r="AN34" s="12">
        <f>IFERROR(__xludf.DUMMYFUNCTION("""COMPUTED_VALUE"""),0.0)</f>
        <v>0</v>
      </c>
      <c r="AO34" s="12">
        <f>IFERROR(__xludf.DUMMYFUNCTION("""COMPUTED_VALUE"""),0.0)</f>
        <v>0</v>
      </c>
      <c r="AP34" s="12">
        <f>IFERROR(__xludf.DUMMYFUNCTION("""COMPUTED_VALUE"""),0.0)</f>
        <v>0</v>
      </c>
      <c r="AQ34" s="3"/>
      <c r="AR34" s="9">
        <v>110.0</v>
      </c>
      <c r="AS34" s="9">
        <v>110.0</v>
      </c>
      <c r="AT34" s="9">
        <v>110.0</v>
      </c>
      <c r="AU34" s="9">
        <v>110.0</v>
      </c>
      <c r="AV34" s="9">
        <v>110.0</v>
      </c>
      <c r="AW34" s="9">
        <v>110.0</v>
      </c>
      <c r="AX34" s="9">
        <v>110.0</v>
      </c>
      <c r="AY34" s="9">
        <v>0.0</v>
      </c>
      <c r="AZ34" s="9">
        <v>0.0</v>
      </c>
      <c r="BA34" s="9">
        <v>0.0</v>
      </c>
      <c r="BB34" s="9">
        <v>0.0</v>
      </c>
      <c r="BC34" s="9">
        <v>0.0</v>
      </c>
      <c r="BD34" s="3"/>
      <c r="BE34" s="9" t="s">
        <v>123</v>
      </c>
      <c r="BF34" s="9" t="s">
        <v>123</v>
      </c>
      <c r="BG34" s="9" t="s">
        <v>123</v>
      </c>
      <c r="BH34" s="9" t="s">
        <v>123</v>
      </c>
    </row>
    <row r="35">
      <c r="A35" s="9">
        <v>9.0</v>
      </c>
      <c r="B35" s="6" t="s">
        <v>101</v>
      </c>
      <c r="C35" s="3"/>
      <c r="D35" s="3"/>
      <c r="E35" s="3"/>
      <c r="F35" s="9">
        <v>6.0</v>
      </c>
      <c r="G35" s="3"/>
      <c r="H35" s="3"/>
      <c r="I35" s="14"/>
      <c r="J35" s="14"/>
      <c r="K35" s="14"/>
      <c r="L35" s="11">
        <v>6.4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10" t="str">
        <f>IFERROR(__xludf.DUMMYFUNCTION("IMPORTRANGE(""1e7--NjE9N54w7uxIeTVQ2x149gW2CjGTf8gPedLtEqw"",""UP3!AE35:AP35"")"),"")</f>
        <v/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9" t="s">
        <v>161</v>
      </c>
      <c r="BF35" s="9" t="s">
        <v>161</v>
      </c>
      <c r="BG35" s="9" t="s">
        <v>162</v>
      </c>
      <c r="BH35" s="9" t="s">
        <v>162</v>
      </c>
    </row>
    <row r="36">
      <c r="A36" s="3"/>
      <c r="B36" s="6" t="s">
        <v>102</v>
      </c>
      <c r="C36" s="9">
        <v>1.0</v>
      </c>
      <c r="D36" s="6" t="s">
        <v>163</v>
      </c>
      <c r="E36" s="6" t="s">
        <v>164</v>
      </c>
      <c r="F36" s="9">
        <v>2.0</v>
      </c>
      <c r="G36" s="10">
        <v>3.0041313E7</v>
      </c>
      <c r="H36" s="10">
        <v>3.0041319E7</v>
      </c>
      <c r="I36" s="11">
        <v>30.04</v>
      </c>
      <c r="J36" s="11">
        <v>8.11</v>
      </c>
      <c r="K36" s="11">
        <v>110.0</v>
      </c>
      <c r="L36" s="11">
        <v>2.2</v>
      </c>
      <c r="M36" s="3"/>
      <c r="N36" s="6" t="s">
        <v>93</v>
      </c>
      <c r="O36" s="6" t="s">
        <v>165</v>
      </c>
      <c r="P36" s="3"/>
      <c r="Q36" s="3"/>
      <c r="R36" s="10">
        <f>IFERROR(__xludf.DUMMYFUNCTION("IMPORTRANGE(""1Oll_sAr-jpBfzl7ZdroBBuuM-sHhVKRxyQNEl9IyQIU"",""piutang rata2!D10:O10"")"),30.041308)</f>
        <v>30.041308</v>
      </c>
      <c r="S36" s="10">
        <f>IFERROR(__xludf.DUMMYFUNCTION("""COMPUTED_VALUE"""),30.041309)</f>
        <v>30.041309</v>
      </c>
      <c r="T36" s="10">
        <f>IFERROR(__xludf.DUMMYFUNCTION("""COMPUTED_VALUE"""),30.041310000000003)</f>
        <v>30.04131</v>
      </c>
      <c r="U36" s="10">
        <f>IFERROR(__xludf.DUMMYFUNCTION("""COMPUTED_VALUE"""),30.041311000000004)</f>
        <v>30.041311</v>
      </c>
      <c r="V36" s="10">
        <f>IFERROR(__xludf.DUMMYFUNCTION("""COMPUTED_VALUE"""),30.041312)</f>
        <v>30.041312</v>
      </c>
      <c r="W36" s="10">
        <f>IFERROR(__xludf.DUMMYFUNCTION("""COMPUTED_VALUE"""),30.041313)</f>
        <v>30.041313</v>
      </c>
      <c r="X36" s="10">
        <f>IFERROR(__xludf.DUMMYFUNCTION("""COMPUTED_VALUE"""),30.041314)</f>
        <v>30.041314</v>
      </c>
      <c r="Y36" s="10">
        <f>IFERROR(__xludf.DUMMYFUNCTION("""COMPUTED_VALUE"""),30.041315)</f>
        <v>30.041315</v>
      </c>
      <c r="Z36" s="10">
        <f>IFERROR(__xludf.DUMMYFUNCTION("""COMPUTED_VALUE"""),30.041316000000002)</f>
        <v>30.041316</v>
      </c>
      <c r="AA36" s="10">
        <f>IFERROR(__xludf.DUMMYFUNCTION("""COMPUTED_VALUE"""),30.041317000000003)</f>
        <v>30.041317</v>
      </c>
      <c r="AB36" s="10">
        <f>IFERROR(__xludf.DUMMYFUNCTION("""COMPUTED_VALUE"""),30.041318)</f>
        <v>30.041318</v>
      </c>
      <c r="AC36" s="10">
        <f>IFERROR(__xludf.DUMMYFUNCTION("""COMPUTED_VALUE"""),30.041318999999994)</f>
        <v>30.041319</v>
      </c>
      <c r="AD36" s="3"/>
      <c r="AE36" s="10">
        <f>IFERROR(__xludf.DUMMYFUNCTION("IMPORTRANGE(""1e7--NjE9N54w7uxIeTVQ2x149gW2CjGTf8gPedLtEqw"",""UP3!AE36:AP36"")"),6.3480110000000005)</f>
        <v>6.348011</v>
      </c>
      <c r="AF36" s="10">
        <f>IFERROR(__xludf.DUMMYFUNCTION("""COMPUTED_VALUE"""),7.613754)</f>
        <v>7.613754</v>
      </c>
      <c r="AG36" s="10">
        <f>IFERROR(__xludf.DUMMYFUNCTION("""COMPUTED_VALUE"""),8.480106333333334)</f>
        <v>8.480106333</v>
      </c>
      <c r="AH36" s="10">
        <f>IFERROR(__xludf.DUMMYFUNCTION("""COMPUTED_VALUE"""),11.39371125)</f>
        <v>11.39371125</v>
      </c>
      <c r="AI36" s="10">
        <f>IFERROR(__xludf.DUMMYFUNCTION("""COMPUTED_VALUE"""),9.7275218)</f>
        <v>9.7275218</v>
      </c>
      <c r="AJ36" s="10">
        <f>IFERROR(__xludf.DUMMYFUNCTION("""COMPUTED_VALUE"""),8.106268166666668)</f>
        <v>8.106268167</v>
      </c>
      <c r="AK36" s="12">
        <f>IFERROR(__xludf.DUMMYFUNCTION("""COMPUTED_VALUE"""),0.0)</f>
        <v>0</v>
      </c>
      <c r="AL36" s="12">
        <f>IFERROR(__xludf.DUMMYFUNCTION("""COMPUTED_VALUE"""),0.0)</f>
        <v>0</v>
      </c>
      <c r="AM36" s="12">
        <f>IFERROR(__xludf.DUMMYFUNCTION("""COMPUTED_VALUE"""),0.0)</f>
        <v>0</v>
      </c>
      <c r="AN36" s="12">
        <f>IFERROR(__xludf.DUMMYFUNCTION("""COMPUTED_VALUE"""),0.0)</f>
        <v>0</v>
      </c>
      <c r="AO36" s="12">
        <f>IFERROR(__xludf.DUMMYFUNCTION("""COMPUTED_VALUE"""),0.0)</f>
        <v>0</v>
      </c>
      <c r="AP36" s="12">
        <f>IFERROR(__xludf.DUMMYFUNCTION("""COMPUTED_VALUE"""),0.0)</f>
        <v>0</v>
      </c>
      <c r="AQ36" s="3"/>
      <c r="AR36" s="9">
        <v>110.0</v>
      </c>
      <c r="AS36" s="9">
        <v>110.0</v>
      </c>
      <c r="AT36" s="9">
        <v>110.0</v>
      </c>
      <c r="AU36" s="9">
        <v>110.0</v>
      </c>
      <c r="AV36" s="9">
        <v>110.0</v>
      </c>
      <c r="AW36" s="9">
        <v>110.0</v>
      </c>
      <c r="AX36" s="9">
        <v>110.0</v>
      </c>
      <c r="AY36" s="9">
        <v>110.0</v>
      </c>
      <c r="AZ36" s="9">
        <v>110.0</v>
      </c>
      <c r="BA36" s="9">
        <v>110.0</v>
      </c>
      <c r="BB36" s="9">
        <v>110.0</v>
      </c>
      <c r="BC36" s="9">
        <v>110.0</v>
      </c>
      <c r="BD36" s="3"/>
      <c r="BE36" s="9" t="s">
        <v>123</v>
      </c>
      <c r="BF36" s="9" t="s">
        <v>123</v>
      </c>
      <c r="BG36" s="9" t="s">
        <v>123</v>
      </c>
      <c r="BH36" s="9" t="s">
        <v>123</v>
      </c>
    </row>
    <row r="37">
      <c r="A37" s="3"/>
      <c r="B37" s="6" t="s">
        <v>103</v>
      </c>
      <c r="C37" s="9">
        <v>3.0</v>
      </c>
      <c r="D37" s="6" t="s">
        <v>166</v>
      </c>
      <c r="E37" s="6" t="s">
        <v>164</v>
      </c>
      <c r="F37" s="9">
        <v>2.0</v>
      </c>
      <c r="G37" s="10">
        <v>3.79663381E8</v>
      </c>
      <c r="H37" s="10">
        <v>9.4918411E7</v>
      </c>
      <c r="I37" s="11">
        <v>379.66</v>
      </c>
      <c r="J37" s="11">
        <v>1275.31</v>
      </c>
      <c r="K37" s="11">
        <v>110.0</v>
      </c>
      <c r="L37" s="11">
        <v>2.2</v>
      </c>
      <c r="M37" s="3"/>
      <c r="N37" s="6" t="s">
        <v>93</v>
      </c>
      <c r="O37" s="3"/>
      <c r="P37" s="3"/>
      <c r="Q37" s="3"/>
      <c r="R37" s="20">
        <f>IFERROR(__xludf.DUMMYFUNCTION("IMPORTRANGE(""1Oll_sAr-jpBfzl7ZdroBBuuM-sHhVKRxyQNEl9IyQIU"",""lunas prr!D10:O10"")"),0.0)</f>
        <v>0</v>
      </c>
      <c r="S37" s="20">
        <f>IFERROR(__xludf.DUMMYFUNCTION("""COMPUTED_VALUE"""),0.0)</f>
        <v>0</v>
      </c>
      <c r="T37" s="10">
        <f>IFERROR(__xludf.DUMMYFUNCTION("""COMPUTED_VALUE"""),188.882404)</f>
        <v>188.882404</v>
      </c>
      <c r="U37" s="10">
        <f>IFERROR(__xludf.DUMMYFUNCTION("""COMPUTED_VALUE"""),252.51027)</f>
        <v>252.51027</v>
      </c>
      <c r="V37" s="10">
        <f>IFERROR(__xludf.DUMMYFUNCTION("""COMPUTED_VALUE"""),316.086827)</f>
        <v>316.086827</v>
      </c>
      <c r="W37" s="10">
        <f>IFERROR(__xludf.DUMMYFUNCTION("""COMPUTED_VALUE"""),379.663381)</f>
        <v>379.663381</v>
      </c>
      <c r="X37" s="10">
        <f>IFERROR(__xludf.DUMMYFUNCTION("""COMPUTED_VALUE"""),474.592055)</f>
        <v>474.592055</v>
      </c>
      <c r="Y37" s="10">
        <f>IFERROR(__xludf.DUMMYFUNCTION("""COMPUTED_VALUE"""),569.520729)</f>
        <v>569.520729</v>
      </c>
      <c r="Z37" s="10">
        <f>IFERROR(__xludf.DUMMYFUNCTION("""COMPUTED_VALUE"""),664.449402)</f>
        <v>664.449402</v>
      </c>
      <c r="AA37" s="10">
        <f>IFERROR(__xludf.DUMMYFUNCTION("""COMPUTED_VALUE"""),759.378076)</f>
        <v>759.378076</v>
      </c>
      <c r="AB37" s="10">
        <f>IFERROR(__xludf.DUMMYFUNCTION("""COMPUTED_VALUE"""),854.255436)</f>
        <v>854.255436</v>
      </c>
      <c r="AC37" s="10">
        <f>IFERROR(__xludf.DUMMYFUNCTION("""COMPUTED_VALUE"""),949.18411)</f>
        <v>949.18411</v>
      </c>
      <c r="AD37" s="3"/>
      <c r="AE37" s="10">
        <f>IFERROR(__xludf.DUMMYFUNCTION("IMPORTRANGE(""1e7--NjE9N54w7uxIeTVQ2x149gW2CjGTf8gPedLtEqw"",""UP3!AE37:AP37"")"),26.311291)</f>
        <v>26.311291</v>
      </c>
      <c r="AF37" s="10">
        <f>IFERROR(__xludf.DUMMYFUNCTION("""COMPUTED_VALUE"""),492.28508)</f>
        <v>492.28508</v>
      </c>
      <c r="AG37" s="10">
        <f>IFERROR(__xludf.DUMMYFUNCTION("""COMPUTED_VALUE"""),518.997066)</f>
        <v>518.997066</v>
      </c>
      <c r="AH37" s="10">
        <f>IFERROR(__xludf.DUMMYFUNCTION("""COMPUTED_VALUE"""),1235.059361)</f>
        <v>1235.059361</v>
      </c>
      <c r="AI37" s="10">
        <f>IFERROR(__xludf.DUMMYFUNCTION("""COMPUTED_VALUE"""),1256.815656)</f>
        <v>1256.815656</v>
      </c>
      <c r="AJ37" s="10">
        <f>IFERROR(__xludf.DUMMYFUNCTION("""COMPUTED_VALUE"""),1275.309067)</f>
        <v>1275.309067</v>
      </c>
      <c r="AK37" s="12">
        <f>IFERROR(__xludf.DUMMYFUNCTION("""COMPUTED_VALUE"""),0.0)</f>
        <v>0</v>
      </c>
      <c r="AL37" s="12">
        <f>IFERROR(__xludf.DUMMYFUNCTION("""COMPUTED_VALUE"""),0.0)</f>
        <v>0</v>
      </c>
      <c r="AM37" s="12">
        <f>IFERROR(__xludf.DUMMYFUNCTION("""COMPUTED_VALUE"""),0.0)</f>
        <v>0</v>
      </c>
      <c r="AN37" s="12">
        <f>IFERROR(__xludf.DUMMYFUNCTION("""COMPUTED_VALUE"""),0.0)</f>
        <v>0</v>
      </c>
      <c r="AO37" s="12">
        <f>IFERROR(__xludf.DUMMYFUNCTION("""COMPUTED_VALUE"""),0.0)</f>
        <v>0</v>
      </c>
      <c r="AP37" s="12">
        <f>IFERROR(__xludf.DUMMYFUNCTION("""COMPUTED_VALUE"""),0.0)</f>
        <v>0</v>
      </c>
      <c r="AQ37" s="3"/>
      <c r="AR37" s="9">
        <v>100.0</v>
      </c>
      <c r="AS37" s="9">
        <v>100.0</v>
      </c>
      <c r="AT37" s="9">
        <v>110.0</v>
      </c>
      <c r="AU37" s="9">
        <v>110.0</v>
      </c>
      <c r="AV37" s="9">
        <v>110.0</v>
      </c>
      <c r="AW37" s="9">
        <v>110.0</v>
      </c>
      <c r="AX37" s="9">
        <v>0.0</v>
      </c>
      <c r="AY37" s="9">
        <v>0.0</v>
      </c>
      <c r="AZ37" s="9">
        <v>0.0</v>
      </c>
      <c r="BA37" s="9">
        <v>0.0</v>
      </c>
      <c r="BB37" s="9">
        <v>0.0</v>
      </c>
      <c r="BC37" s="9">
        <v>0.0</v>
      </c>
      <c r="BD37" s="3"/>
      <c r="BE37" s="9">
        <v>2.0</v>
      </c>
      <c r="BF37" s="9">
        <v>2.0</v>
      </c>
      <c r="BG37" s="9" t="s">
        <v>123</v>
      </c>
      <c r="BH37" s="9" t="s">
        <v>123</v>
      </c>
    </row>
    <row r="38">
      <c r="A38" s="3"/>
      <c r="B38" s="6" t="s">
        <v>104</v>
      </c>
      <c r="C38" s="9">
        <v>3.0</v>
      </c>
      <c r="D38" s="6" t="s">
        <v>167</v>
      </c>
      <c r="E38" s="6" t="s">
        <v>168</v>
      </c>
      <c r="F38" s="9">
        <v>2.0</v>
      </c>
      <c r="G38" s="10">
        <v>8310018.0</v>
      </c>
      <c r="H38" s="9">
        <v>100.0</v>
      </c>
      <c r="I38" s="11">
        <v>0.01</v>
      </c>
      <c r="J38" s="11">
        <v>0.01</v>
      </c>
      <c r="K38" s="11">
        <v>100.0</v>
      </c>
      <c r="L38" s="11">
        <v>2.0</v>
      </c>
      <c r="M38" s="3"/>
      <c r="N38" s="6" t="s">
        <v>93</v>
      </c>
      <c r="O38" s="3"/>
      <c r="P38" s="3"/>
      <c r="Q38" s="3"/>
      <c r="R38" s="10">
        <f>IFERROR(__xludf.DUMMYFUNCTION("IMPORTRANGE(""1Oll_sAr-jpBfzl7ZdroBBuuM-sHhVKRxyQNEl9IyQIU"",""usul hapus prr!D10:O10"")"),0.0)</f>
        <v>0</v>
      </c>
      <c r="S38" s="10">
        <f>IFERROR(__xludf.DUMMYFUNCTION("""COMPUTED_VALUE"""),0.0)</f>
        <v>0</v>
      </c>
      <c r="T38" s="10">
        <f>IFERROR(__xludf.DUMMYFUNCTION("""COMPUTED_VALUE"""),0.0)</f>
        <v>0</v>
      </c>
      <c r="U38" s="10">
        <f>IFERROR(__xludf.DUMMYFUNCTION("""COMPUTED_VALUE"""),0.0)</f>
        <v>0</v>
      </c>
      <c r="V38" s="10">
        <f>IFERROR(__xludf.DUMMYFUNCTION("""COMPUTED_VALUE"""),0.0)</f>
        <v>0</v>
      </c>
      <c r="W38" s="10">
        <f>IFERROR(__xludf.DUMMYFUNCTION("""COMPUTED_VALUE"""),0.008310018)</f>
        <v>0.008310018</v>
      </c>
      <c r="X38" s="10">
        <f>IFERROR(__xludf.DUMMYFUNCTION("""COMPUTED_VALUE"""),100.0)</f>
        <v>100</v>
      </c>
      <c r="Y38" s="10">
        <f>IFERROR(__xludf.DUMMYFUNCTION("""COMPUTED_VALUE"""),100.0)</f>
        <v>100</v>
      </c>
      <c r="Z38" s="10">
        <f>IFERROR(__xludf.DUMMYFUNCTION("""COMPUTED_VALUE"""),100.0)</f>
        <v>100</v>
      </c>
      <c r="AA38" s="10">
        <f>IFERROR(__xludf.DUMMYFUNCTION("""COMPUTED_VALUE"""),100.0)</f>
        <v>100</v>
      </c>
      <c r="AB38" s="10">
        <f>IFERROR(__xludf.DUMMYFUNCTION("""COMPUTED_VALUE"""),100.0)</f>
        <v>100</v>
      </c>
      <c r="AC38" s="10">
        <f>IFERROR(__xludf.DUMMYFUNCTION("""COMPUTED_VALUE"""),100.0)</f>
        <v>100</v>
      </c>
      <c r="AD38" s="3"/>
      <c r="AE38" s="10">
        <f>IFERROR(__xludf.DUMMYFUNCTION("IMPORTRANGE(""1e7--NjE9N54w7uxIeTVQ2x149gW2CjGTf8gPedLtEqw"",""UP3!AE38:AP38"")"),0.0)</f>
        <v>0</v>
      </c>
      <c r="AF38" s="12">
        <f>IFERROR(__xludf.DUMMYFUNCTION("""COMPUTED_VALUE"""),0.0)</f>
        <v>0</v>
      </c>
      <c r="AG38" s="12">
        <f>IFERROR(__xludf.DUMMYFUNCTION("""COMPUTED_VALUE"""),0.0)</f>
        <v>0</v>
      </c>
      <c r="AH38" s="12">
        <f>IFERROR(__xludf.DUMMYFUNCTION("""COMPUTED_VALUE"""),0.0)</f>
        <v>0</v>
      </c>
      <c r="AI38" s="12">
        <f>IFERROR(__xludf.DUMMYFUNCTION("""COMPUTED_VALUE"""),0.0)</f>
        <v>0</v>
      </c>
      <c r="AJ38" s="12">
        <f>IFERROR(__xludf.DUMMYFUNCTION("""COMPUTED_VALUE"""),0.008310018)</f>
        <v>0.008310018</v>
      </c>
      <c r="AK38" s="12">
        <f>IFERROR(__xludf.DUMMYFUNCTION("""COMPUTED_VALUE"""),0.0)</f>
        <v>0</v>
      </c>
      <c r="AL38" s="12">
        <f>IFERROR(__xludf.DUMMYFUNCTION("""COMPUTED_VALUE"""),0.0)</f>
        <v>0</v>
      </c>
      <c r="AM38" s="12">
        <f>IFERROR(__xludf.DUMMYFUNCTION("""COMPUTED_VALUE"""),0.0)</f>
        <v>0</v>
      </c>
      <c r="AN38" s="12">
        <f>IFERROR(__xludf.DUMMYFUNCTION("""COMPUTED_VALUE"""),0.0)</f>
        <v>0</v>
      </c>
      <c r="AO38" s="12">
        <f>IFERROR(__xludf.DUMMYFUNCTION("""COMPUTED_VALUE"""),0.0)</f>
        <v>0</v>
      </c>
      <c r="AP38" s="12">
        <f>IFERROR(__xludf.DUMMYFUNCTION("""COMPUTED_VALUE"""),0.0)</f>
        <v>0</v>
      </c>
      <c r="AQ38" s="3"/>
      <c r="AR38" s="9">
        <v>100.0</v>
      </c>
      <c r="AS38" s="9">
        <v>100.0</v>
      </c>
      <c r="AT38" s="9">
        <v>100.0</v>
      </c>
      <c r="AU38" s="9">
        <v>100.0</v>
      </c>
      <c r="AV38" s="9">
        <v>100.0</v>
      </c>
      <c r="AW38" s="9">
        <v>0.0</v>
      </c>
      <c r="AX38" s="9">
        <v>0.0</v>
      </c>
      <c r="AY38" s="9">
        <v>0.0</v>
      </c>
      <c r="AZ38" s="9">
        <v>0.0</v>
      </c>
      <c r="BA38" s="9">
        <v>0.0</v>
      </c>
      <c r="BB38" s="9">
        <v>0.0</v>
      </c>
      <c r="BC38" s="9">
        <v>0.0</v>
      </c>
      <c r="BD38" s="3"/>
      <c r="BE38" s="9">
        <v>2.0</v>
      </c>
      <c r="BF38" s="9">
        <v>2.0</v>
      </c>
      <c r="BG38" s="9">
        <v>2.0</v>
      </c>
      <c r="BH38" s="9">
        <v>2.0</v>
      </c>
    </row>
    <row r="39">
      <c r="A39" s="9">
        <v>10.0</v>
      </c>
      <c r="B39" s="6" t="s">
        <v>169</v>
      </c>
      <c r="C39" s="3"/>
      <c r="D39" s="3"/>
      <c r="E39" s="3"/>
      <c r="F39" s="9">
        <v>5.0</v>
      </c>
      <c r="G39" s="3"/>
      <c r="H39" s="3"/>
      <c r="I39" s="14"/>
      <c r="J39" s="14"/>
      <c r="K39" s="14"/>
      <c r="L39" s="11">
        <v>5.49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0" t="str">
        <f>IFERROR(__xludf.DUMMYFUNCTION("IMPORTRANGE(""1e7--NjE9N54w7uxIeTVQ2x149gW2CjGTf8gPedLtEqw"",""UP3!AE39:AP39"")"),"")</f>
        <v/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9" t="s">
        <v>170</v>
      </c>
      <c r="BF39" s="9" t="s">
        <v>170</v>
      </c>
      <c r="BG39" s="10">
        <v>4756.0</v>
      </c>
      <c r="BH39" s="10">
        <v>4.642947368E9</v>
      </c>
    </row>
    <row r="40">
      <c r="A40" s="3"/>
      <c r="B40" s="6" t="s">
        <v>171</v>
      </c>
      <c r="C40" s="9">
        <v>2.0</v>
      </c>
      <c r="D40" s="6" t="s">
        <v>172</v>
      </c>
      <c r="E40" s="6" t="s">
        <v>91</v>
      </c>
      <c r="F40" s="9">
        <v>2.0</v>
      </c>
      <c r="G40" s="6" t="s">
        <v>173</v>
      </c>
      <c r="H40" s="6" t="s">
        <v>173</v>
      </c>
      <c r="I40" s="22" t="s">
        <v>173</v>
      </c>
      <c r="J40" s="11">
        <v>104.65</v>
      </c>
      <c r="K40" s="11">
        <v>109.65</v>
      </c>
      <c r="L40" s="11">
        <v>2.19</v>
      </c>
      <c r="M40" s="3"/>
      <c r="N40" s="6" t="s">
        <v>93</v>
      </c>
      <c r="O40" s="3"/>
      <c r="P40" s="3"/>
      <c r="Q40" s="3"/>
      <c r="R40" s="6" t="s">
        <v>173</v>
      </c>
      <c r="S40" s="6" t="s">
        <v>174</v>
      </c>
      <c r="T40" s="6" t="s">
        <v>175</v>
      </c>
      <c r="U40" s="6" t="s">
        <v>176</v>
      </c>
      <c r="V40" s="6" t="s">
        <v>177</v>
      </c>
      <c r="W40" s="6" t="s">
        <v>178</v>
      </c>
      <c r="X40" s="6" t="s">
        <v>179</v>
      </c>
      <c r="Y40" s="6" t="s">
        <v>180</v>
      </c>
      <c r="Z40" s="6" t="s">
        <v>181</v>
      </c>
      <c r="AA40" s="6" t="s">
        <v>182</v>
      </c>
      <c r="AB40" s="6" t="s">
        <v>183</v>
      </c>
      <c r="AC40" s="6" t="s">
        <v>184</v>
      </c>
      <c r="AD40" s="3"/>
      <c r="AE40" s="10">
        <f>IFERROR(__xludf.DUMMYFUNCTION("IMPORTRANGE(""1e7--NjE9N54w7uxIeTVQ2x149gW2CjGTf8gPedLtEqw"",""UP3!AE40:AP40"")"),100.0)</f>
        <v>100</v>
      </c>
      <c r="AF40" s="12">
        <f>IFERROR(__xludf.DUMMYFUNCTION("""COMPUTED_VALUE"""),100.0)</f>
        <v>100</v>
      </c>
      <c r="AG40" s="12">
        <f>IFERROR(__xludf.DUMMYFUNCTION("""COMPUTED_VALUE"""),83.41)</f>
        <v>83.41</v>
      </c>
      <c r="AH40" s="12">
        <f>IFERROR(__xludf.DUMMYFUNCTION("""COMPUTED_VALUE"""),78.04)</f>
        <v>78.04</v>
      </c>
      <c r="AI40" s="12">
        <f>IFERROR(__xludf.DUMMYFUNCTION("""COMPUTED_VALUE"""),100.51)</f>
        <v>100.51</v>
      </c>
      <c r="AJ40" s="12">
        <f>IFERROR(__xludf.DUMMYFUNCTION("""COMPUTED_VALUE"""),104.65)</f>
        <v>104.65</v>
      </c>
      <c r="AK40" s="3"/>
      <c r="AL40" s="3"/>
      <c r="AM40" s="3"/>
      <c r="AN40" s="3"/>
      <c r="AO40" s="3"/>
      <c r="AP40" s="3"/>
      <c r="AQ40" s="3"/>
      <c r="AR40" s="9">
        <v>110.0</v>
      </c>
      <c r="AS40" s="9">
        <v>110.0</v>
      </c>
      <c r="AT40" s="9" t="s">
        <v>185</v>
      </c>
      <c r="AU40" s="10">
        <v>8.214736842E9</v>
      </c>
      <c r="AV40" s="10">
        <v>9.946315789E9</v>
      </c>
      <c r="AW40" s="9" t="s">
        <v>186</v>
      </c>
      <c r="AX40" s="9">
        <v>0.0</v>
      </c>
      <c r="AY40" s="9">
        <v>0.0</v>
      </c>
      <c r="AZ40" s="9">
        <v>0.0</v>
      </c>
      <c r="BA40" s="9">
        <v>0.0</v>
      </c>
      <c r="BB40" s="9">
        <v>0.0</v>
      </c>
      <c r="BC40" s="9">
        <v>0.0</v>
      </c>
      <c r="BD40" s="3"/>
      <c r="BE40" s="9" t="s">
        <v>123</v>
      </c>
      <c r="BF40" s="9" t="s">
        <v>123</v>
      </c>
      <c r="BG40" s="10">
        <v>1756.0</v>
      </c>
      <c r="BH40" s="10">
        <v>1.642947368E9</v>
      </c>
    </row>
    <row r="41">
      <c r="A41" s="3"/>
      <c r="B41" s="6" t="s">
        <v>187</v>
      </c>
      <c r="C41" s="9">
        <v>3.0</v>
      </c>
      <c r="D41" s="6" t="s">
        <v>188</v>
      </c>
      <c r="E41" s="6" t="s">
        <v>164</v>
      </c>
      <c r="F41" s="9">
        <v>2.0</v>
      </c>
      <c r="G41" s="9" t="s">
        <v>189</v>
      </c>
      <c r="H41" s="9">
        <v>2574.0</v>
      </c>
      <c r="I41" s="11">
        <v>829.4</v>
      </c>
      <c r="J41" s="11">
        <v>2799.88</v>
      </c>
      <c r="K41" s="11">
        <v>110.0</v>
      </c>
      <c r="L41" s="11">
        <v>2.2</v>
      </c>
      <c r="M41" s="3"/>
      <c r="N41" s="6" t="s">
        <v>93</v>
      </c>
      <c r="O41" s="3"/>
      <c r="P41" s="3"/>
      <c r="Q41" s="3"/>
      <c r="R41" s="16">
        <f>IFERROR(__xludf.DUMMYFUNCTION("IMPORTRANGE(""1Oll_sAr-jpBfzl7ZdroBBuuM-sHhVKRxyQNEl9IyQIU"",""up3!J47:U47"")"),0.0)</f>
        <v>0</v>
      </c>
      <c r="S41" s="16">
        <f>IFERROR(__xludf.DUMMYFUNCTION("""COMPUTED_VALUE"""),0.0)</f>
        <v>0</v>
      </c>
      <c r="T41" s="16">
        <f>IFERROR(__xludf.DUMMYFUNCTION("""COMPUTED_VALUE"""),0.0)</f>
        <v>0</v>
      </c>
      <c r="U41" s="16">
        <f>IFERROR(__xludf.DUMMYFUNCTION("""COMPUTED_VALUE"""),0.0)</f>
        <v>0</v>
      </c>
      <c r="V41" s="16">
        <f>IFERROR(__xludf.DUMMYFUNCTION("""COMPUTED_VALUE"""),0.0)</f>
        <v>0</v>
      </c>
      <c r="W41" s="16">
        <f>IFERROR(__xludf.DUMMYFUNCTION("""COMPUTED_VALUE"""),829.4)</f>
        <v>829.4</v>
      </c>
      <c r="X41" s="16">
        <f>IFERROR(__xludf.DUMMYFUNCTION("""COMPUTED_VALUE"""),829.4)</f>
        <v>829.4</v>
      </c>
      <c r="Y41" s="16">
        <f>IFERROR(__xludf.DUMMYFUNCTION("""COMPUTED_VALUE"""),829.4)</f>
        <v>829.4</v>
      </c>
      <c r="Z41" s="16">
        <f>IFERROR(__xludf.DUMMYFUNCTION("""COMPUTED_VALUE"""),2574.0)</f>
        <v>2574</v>
      </c>
      <c r="AA41" s="16">
        <f>IFERROR(__xludf.DUMMYFUNCTION("""COMPUTED_VALUE"""),2574.0)</f>
        <v>2574</v>
      </c>
      <c r="AB41" s="16">
        <f>IFERROR(__xludf.DUMMYFUNCTION("""COMPUTED_VALUE"""),2574.0)</f>
        <v>2574</v>
      </c>
      <c r="AC41" s="16">
        <f>IFERROR(__xludf.DUMMYFUNCTION("""COMPUTED_VALUE"""),2574.0)</f>
        <v>2574</v>
      </c>
      <c r="AD41" s="3"/>
      <c r="AE41" s="10">
        <f>IFERROR(__xludf.DUMMYFUNCTION("IMPORTRANGE(""1e7--NjE9N54w7uxIeTVQ2x149gW2CjGTf8gPedLtEqw"",""UP3!AE41:AP41"")"),0.0)</f>
        <v>0</v>
      </c>
      <c r="AF41" s="12">
        <f>IFERROR(__xludf.DUMMYFUNCTION("""COMPUTED_VALUE"""),0.0)</f>
        <v>0</v>
      </c>
      <c r="AG41" s="12">
        <f>IFERROR(__xludf.DUMMYFUNCTION("""COMPUTED_VALUE"""),0.0)</f>
        <v>0</v>
      </c>
      <c r="AH41" s="12">
        <f>IFERROR(__xludf.DUMMYFUNCTION("""COMPUTED_VALUE"""),0.0)</f>
        <v>0</v>
      </c>
      <c r="AI41" s="12">
        <f>IFERROR(__xludf.DUMMYFUNCTION("""COMPUTED_VALUE"""),0.0)</f>
        <v>0</v>
      </c>
      <c r="AJ41" s="10">
        <f>IFERROR(__xludf.DUMMYFUNCTION("""COMPUTED_VALUE"""),2799.876894)</f>
        <v>2799.876894</v>
      </c>
      <c r="AK41" s="3"/>
      <c r="AL41" s="3"/>
      <c r="AM41" s="3"/>
      <c r="AN41" s="3"/>
      <c r="AO41" s="3"/>
      <c r="AP41" s="3"/>
      <c r="AQ41" s="3"/>
      <c r="AR41" s="9">
        <v>100.0</v>
      </c>
      <c r="AS41" s="9">
        <v>100.0</v>
      </c>
      <c r="AT41" s="9">
        <v>100.0</v>
      </c>
      <c r="AU41" s="9">
        <v>100.0</v>
      </c>
      <c r="AV41" s="9">
        <v>100.0</v>
      </c>
      <c r="AW41" s="9">
        <v>110.0</v>
      </c>
      <c r="AX41" s="9">
        <v>0.0</v>
      </c>
      <c r="AY41" s="9">
        <v>0.0</v>
      </c>
      <c r="AZ41" s="9">
        <v>0.0</v>
      </c>
      <c r="BA41" s="9">
        <v>0.0</v>
      </c>
      <c r="BB41" s="9">
        <v>0.0</v>
      </c>
      <c r="BC41" s="9">
        <v>0.0</v>
      </c>
      <c r="BD41" s="3"/>
      <c r="BE41" s="9">
        <v>2.0</v>
      </c>
      <c r="BF41" s="9">
        <v>2.0</v>
      </c>
      <c r="BG41" s="9">
        <v>2.0</v>
      </c>
      <c r="BH41" s="9">
        <v>2.0</v>
      </c>
    </row>
    <row r="42">
      <c r="A42" s="3"/>
      <c r="B42" s="6" t="s">
        <v>190</v>
      </c>
      <c r="C42" s="9">
        <v>1.0</v>
      </c>
      <c r="D42" s="6" t="s">
        <v>191</v>
      </c>
      <c r="E42" s="6" t="s">
        <v>164</v>
      </c>
      <c r="F42" s="9">
        <v>1.0</v>
      </c>
      <c r="G42" s="10">
        <v>1.207140824E9</v>
      </c>
      <c r="H42" s="10">
        <v>2.226613616E9</v>
      </c>
      <c r="I42" s="11">
        <v>11373.34</v>
      </c>
      <c r="J42" s="11">
        <v>6783.59</v>
      </c>
      <c r="K42" s="11">
        <v>110.0</v>
      </c>
      <c r="L42" s="11">
        <v>1.1</v>
      </c>
      <c r="M42" s="3"/>
      <c r="N42" s="6" t="s">
        <v>93</v>
      </c>
      <c r="O42" s="6" t="s">
        <v>192</v>
      </c>
      <c r="P42" s="3"/>
      <c r="Q42" s="3"/>
      <c r="R42" s="10">
        <f>IFERROR(__xludf.DUMMYFUNCTION("IMPORTRANGE(""1Oll_sAr-jpBfzl7ZdroBBuuM-sHhVKRxyQNEl9IyQIU"",""up3!J48:U48"")"),0.0)</f>
        <v>0</v>
      </c>
      <c r="S42" s="10">
        <f>IFERROR(__xludf.DUMMYFUNCTION("""COMPUTED_VALUE"""),0.0)</f>
        <v>0</v>
      </c>
      <c r="T42" s="10">
        <f>IFERROR(__xludf.DUMMYFUNCTION("""COMPUTED_VALUE"""),0.0)</f>
        <v>0</v>
      </c>
      <c r="U42" s="10">
        <f>IFERROR(__xludf.DUMMYFUNCTION("""COMPUTED_VALUE"""),0.0)</f>
        <v>0</v>
      </c>
      <c r="V42" s="10">
        <f>IFERROR(__xludf.DUMMYFUNCTION("""COMPUTED_VALUE"""),9477.7811058333)</f>
        <v>9477.781106</v>
      </c>
      <c r="W42" s="10">
        <f>IFERROR(__xludf.DUMMYFUNCTION("""COMPUTED_VALUE"""),11373.337327)</f>
        <v>11373.33733</v>
      </c>
      <c r="X42" s="10">
        <f>IFERROR(__xludf.DUMMYFUNCTION("""COMPUTED_VALUE"""),13268.8935481667)</f>
        <v>13268.89355</v>
      </c>
      <c r="Y42" s="10">
        <f>IFERROR(__xludf.DUMMYFUNCTION("""COMPUTED_VALUE"""),15164.4497693333)</f>
        <v>15164.44977</v>
      </c>
      <c r="Z42" s="10">
        <f>IFERROR(__xludf.DUMMYFUNCTION("""COMPUTED_VALUE"""),17060.0059905)</f>
        <v>17060.00599</v>
      </c>
      <c r="AA42" s="10">
        <f>IFERROR(__xludf.DUMMYFUNCTION("""COMPUTED_VALUE"""),18955.5622116667)</f>
        <v>18955.56221</v>
      </c>
      <c r="AB42" s="10">
        <f>IFERROR(__xludf.DUMMYFUNCTION("""COMPUTED_VALUE"""),20851.1184328333)</f>
        <v>20851.11843</v>
      </c>
      <c r="AC42" s="10">
        <f>IFERROR(__xludf.DUMMYFUNCTION("""COMPUTED_VALUE"""),22746.674654)</f>
        <v>22746.67465</v>
      </c>
      <c r="AD42" s="3"/>
      <c r="AE42" s="10" t="str">
        <f>IFERROR(__xludf.DUMMYFUNCTION("IMPORTRANGE(""1e7--NjE9N54w7uxIeTVQ2x149gW2CjGTf8gPedLtEqw"",""UP3!AE42:AP42"")"),"")</f>
        <v/>
      </c>
      <c r="AF42" s="3"/>
      <c r="AG42" s="3"/>
      <c r="AH42" s="3"/>
      <c r="AI42" s="10">
        <f>IFERROR(__xludf.DUMMYFUNCTION("""COMPUTED_VALUE"""),6783.590834)</f>
        <v>6783.590834</v>
      </c>
      <c r="AJ42" s="10">
        <f>IFERROR(__xludf.DUMMYFUNCTION("""COMPUTED_VALUE"""),7174.43476027)</f>
        <v>7174.43476</v>
      </c>
      <c r="AK42" s="3"/>
      <c r="AL42" s="3"/>
      <c r="AM42" s="3"/>
      <c r="AN42" s="3"/>
      <c r="AO42" s="3"/>
      <c r="AP42" s="3"/>
      <c r="AQ42" s="3"/>
      <c r="AR42" s="9">
        <v>100.0</v>
      </c>
      <c r="AS42" s="9">
        <v>100.0</v>
      </c>
      <c r="AT42" s="9">
        <v>100.0</v>
      </c>
      <c r="AU42" s="9">
        <v>100.0</v>
      </c>
      <c r="AV42" s="10">
        <v>1.041671889E9</v>
      </c>
      <c r="AW42" s="9">
        <v>110.0</v>
      </c>
      <c r="AX42" s="9">
        <v>110.0</v>
      </c>
      <c r="AY42" s="9">
        <v>110.0</v>
      </c>
      <c r="AZ42" s="9">
        <v>110.0</v>
      </c>
      <c r="BA42" s="9">
        <v>110.0</v>
      </c>
      <c r="BB42" s="9">
        <v>110.0</v>
      </c>
      <c r="BC42" s="9">
        <v>110.0</v>
      </c>
      <c r="BD42" s="3"/>
      <c r="BE42" s="9">
        <v>1.0</v>
      </c>
      <c r="BF42" s="9">
        <v>1.0</v>
      </c>
      <c r="BG42" s="9">
        <v>1.0</v>
      </c>
      <c r="BH42" s="9">
        <v>1.0</v>
      </c>
    </row>
    <row r="43">
      <c r="A43" s="9">
        <v>11.0</v>
      </c>
      <c r="B43" s="6" t="s">
        <v>107</v>
      </c>
      <c r="C43" s="3"/>
      <c r="D43" s="3"/>
      <c r="E43" s="3"/>
      <c r="F43" s="9">
        <v>6.0</v>
      </c>
      <c r="G43" s="3"/>
      <c r="H43" s="3"/>
      <c r="I43" s="14"/>
      <c r="J43" s="14"/>
      <c r="K43" s="14"/>
      <c r="L43" s="11">
        <v>5.86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10" t="str">
        <f>IFERROR(__xludf.DUMMYFUNCTION("IMPORTRANGE(""1e7--NjE9N54w7uxIeTVQ2x149gW2CjGTf8gPedLtEqw"",""UP3!AE43:AP43"")"),"")</f>
        <v/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9">
        <v>110.0</v>
      </c>
      <c r="AW43" s="3"/>
      <c r="AX43" s="3"/>
      <c r="AY43" s="3"/>
      <c r="AZ43" s="3"/>
      <c r="BA43" s="3"/>
      <c r="BB43" s="3"/>
      <c r="BC43" s="3"/>
      <c r="BD43" s="3"/>
      <c r="BE43" s="10">
        <v>4.744430967E9</v>
      </c>
      <c r="BF43" s="10">
        <v>4.821223536E9</v>
      </c>
      <c r="BG43" s="10">
        <v>4.945149891E9</v>
      </c>
      <c r="BH43" s="10">
        <v>5.14692644E8</v>
      </c>
    </row>
    <row r="44">
      <c r="A44" s="3"/>
      <c r="B44" s="6" t="s">
        <v>108</v>
      </c>
      <c r="C44" s="9">
        <v>3.0</v>
      </c>
      <c r="D44" s="6" t="s">
        <v>193</v>
      </c>
      <c r="E44" s="6" t="s">
        <v>138</v>
      </c>
      <c r="F44" s="9">
        <v>3.0</v>
      </c>
      <c r="G44" s="9">
        <v>5000000.0</v>
      </c>
      <c r="H44" s="9">
        <v>1.0000001E7</v>
      </c>
      <c r="I44" s="11">
        <v>5000000.0</v>
      </c>
      <c r="J44" s="11">
        <v>4429994.0</v>
      </c>
      <c r="K44" s="11">
        <v>88.6</v>
      </c>
      <c r="L44" s="11">
        <v>2.66</v>
      </c>
      <c r="M44" s="3"/>
      <c r="N44" s="6" t="s">
        <v>80</v>
      </c>
      <c r="O44" s="3"/>
      <c r="P44" s="3"/>
      <c r="Q44" s="3"/>
      <c r="R44" s="23">
        <f>IFERROR(__xludf.DUMMYFUNCTION("IMPORTRANGE(""1Oll_sAr-jpBfzl7ZdroBBuuM-sHhVKRxyQNEl9IyQIU"",""temuan p2tl!D10:O10"")"),892857.0)</f>
        <v>892857</v>
      </c>
      <c r="S44" s="23">
        <f>IFERROR(__xludf.DUMMYFUNCTION("""COMPUTED_VALUE"""),1696428.0)</f>
        <v>1696428</v>
      </c>
      <c r="T44" s="23">
        <f>IFERROR(__xludf.DUMMYFUNCTION("""COMPUTED_VALUE"""),2455357.0)</f>
        <v>2455357</v>
      </c>
      <c r="U44" s="23">
        <f>IFERROR(__xludf.DUMMYFUNCTION("""COMPUTED_VALUE"""),3392857.0)</f>
        <v>3392857</v>
      </c>
      <c r="V44" s="23">
        <f>IFERROR(__xludf.DUMMYFUNCTION("""COMPUTED_VALUE"""),4107143.0)</f>
        <v>4107143</v>
      </c>
      <c r="W44" s="23">
        <f>IFERROR(__xludf.DUMMYFUNCTION("""COMPUTED_VALUE"""),5000000.0)</f>
        <v>5000000</v>
      </c>
      <c r="X44" s="23">
        <f>IFERROR(__xludf.DUMMYFUNCTION("""COMPUTED_VALUE"""),5898438.0)</f>
        <v>5898438</v>
      </c>
      <c r="Y44" s="23">
        <f>IFERROR(__xludf.DUMMYFUNCTION("""COMPUTED_VALUE"""),6640625.0)</f>
        <v>6640625</v>
      </c>
      <c r="Z44" s="23">
        <f>IFERROR(__xludf.DUMMYFUNCTION("""COMPUTED_VALUE"""),7500000.0)</f>
        <v>7500000</v>
      </c>
      <c r="AA44" s="23">
        <f>IFERROR(__xludf.DUMMYFUNCTION("""COMPUTED_VALUE"""),8359375.0)</f>
        <v>8359375</v>
      </c>
      <c r="AB44" s="23">
        <f>IFERROR(__xludf.DUMMYFUNCTION("""COMPUTED_VALUE"""),9179688.0)</f>
        <v>9179688</v>
      </c>
      <c r="AC44" s="23">
        <f>IFERROR(__xludf.DUMMYFUNCTION("""COMPUTED_VALUE"""),1.0000001E7)</f>
        <v>10000001</v>
      </c>
      <c r="AD44" s="3"/>
      <c r="AE44" s="10">
        <f>IFERROR(__xludf.DUMMYFUNCTION("IMPORTRANGE(""1e7--NjE9N54w7uxIeTVQ2x149gW2CjGTf8gPedLtEqw"",""UP3!AE44:AP44"")"),459652.0)</f>
        <v>459652</v>
      </c>
      <c r="AF44" s="12">
        <f>IFERROR(__xludf.DUMMYFUNCTION("""COMPUTED_VALUE"""),916763.0)</f>
        <v>916763</v>
      </c>
      <c r="AG44" s="12">
        <f>IFERROR(__xludf.DUMMYFUNCTION("""COMPUTED_VALUE"""),1428322.0)</f>
        <v>1428322</v>
      </c>
      <c r="AH44" s="12">
        <f>IFERROR(__xludf.DUMMYFUNCTION("""COMPUTED_VALUE"""),2201881.0)</f>
        <v>2201881</v>
      </c>
      <c r="AI44" s="12">
        <f>IFERROR(__xludf.DUMMYFUNCTION("""COMPUTED_VALUE"""),3387225.0)</f>
        <v>3387225</v>
      </c>
      <c r="AJ44" s="12">
        <f>IFERROR(__xludf.DUMMYFUNCTION("""COMPUTED_VALUE"""),4429994.0)</f>
        <v>4429994</v>
      </c>
      <c r="AK44" s="12">
        <f>IFERROR(__xludf.DUMMYFUNCTION("""COMPUTED_VALUE"""),5076590.0)</f>
        <v>5076590</v>
      </c>
      <c r="AL44" s="12">
        <f>IFERROR(__xludf.DUMMYFUNCTION("""COMPUTED_VALUE"""),5076590.0)</f>
        <v>5076590</v>
      </c>
      <c r="AM44" s="12">
        <f>IFERROR(__xludf.DUMMYFUNCTION("""COMPUTED_VALUE"""),5076590.0)</f>
        <v>5076590</v>
      </c>
      <c r="AN44" s="12">
        <f>IFERROR(__xludf.DUMMYFUNCTION("""COMPUTED_VALUE"""),5076590.0)</f>
        <v>5076590</v>
      </c>
      <c r="AO44" s="12">
        <f>IFERROR(__xludf.DUMMYFUNCTION("""COMPUTED_VALUE"""),5076590.0)</f>
        <v>5076590</v>
      </c>
      <c r="AP44" s="12">
        <f>IFERROR(__xludf.DUMMYFUNCTION("""COMPUTED_VALUE"""),5076590.0)</f>
        <v>5076590</v>
      </c>
      <c r="AQ44" s="3"/>
      <c r="AR44" s="10">
        <v>5.148103224E9</v>
      </c>
      <c r="AS44" s="10">
        <v>5.404078452E9</v>
      </c>
      <c r="AT44" s="10">
        <v>5.817166302E9</v>
      </c>
      <c r="AU44" s="10">
        <v>6.4897548E7</v>
      </c>
      <c r="AV44" s="10">
        <v>8.247156235E9</v>
      </c>
      <c r="AW44" s="10">
        <v>8859988.0</v>
      </c>
      <c r="AX44" s="10">
        <v>8.137842595E9</v>
      </c>
      <c r="AY44" s="10">
        <v>7.228319624E9</v>
      </c>
      <c r="AZ44" s="10">
        <v>6.400074667E9</v>
      </c>
      <c r="BA44" s="10">
        <v>5.742123065E9</v>
      </c>
      <c r="BB44" s="10">
        <v>5.22899689E8</v>
      </c>
      <c r="BC44" s="10">
        <v>4.80005552E8</v>
      </c>
      <c r="BD44" s="3"/>
      <c r="BE44" s="10">
        <v>1.544430967E9</v>
      </c>
      <c r="BF44" s="10">
        <v>1.621223536E9</v>
      </c>
      <c r="BG44" s="10">
        <v>1.745149891E9</v>
      </c>
      <c r="BH44" s="10">
        <v>1.94692644E8</v>
      </c>
    </row>
    <row r="45">
      <c r="A45" s="3"/>
      <c r="B45" s="6" t="s">
        <v>109</v>
      </c>
      <c r="C45" s="9">
        <v>3.0</v>
      </c>
      <c r="D45" s="6" t="s">
        <v>194</v>
      </c>
      <c r="E45" s="6" t="s">
        <v>157</v>
      </c>
      <c r="F45" s="9">
        <v>2.0</v>
      </c>
      <c r="G45" s="9">
        <v>7371.0</v>
      </c>
      <c r="H45" s="9">
        <v>13280.0</v>
      </c>
      <c r="I45" s="11">
        <v>7371.0</v>
      </c>
      <c r="J45" s="11">
        <v>10905.0</v>
      </c>
      <c r="K45" s="11">
        <v>110.0</v>
      </c>
      <c r="L45" s="11">
        <v>2.2</v>
      </c>
      <c r="M45" s="3"/>
      <c r="N45" s="6" t="s">
        <v>93</v>
      </c>
      <c r="O45" s="3"/>
      <c r="P45" s="3"/>
      <c r="Q45" s="3"/>
      <c r="R45" s="16">
        <f>IFERROR(__xludf.DUMMYFUNCTION("IMPORTRANGE(""1Oll_sAr-jpBfzl7ZdroBBuuM-sHhVKRxyQNEl9IyQIU"",""gamet!D10:O10"")"),819.0)</f>
        <v>819</v>
      </c>
      <c r="S45" s="16">
        <f>IFERROR(__xludf.DUMMYFUNCTION("""COMPUTED_VALUE"""),1638.0)</f>
        <v>1638</v>
      </c>
      <c r="T45" s="16">
        <f>IFERROR(__xludf.DUMMYFUNCTION("""COMPUTED_VALUE"""),2457.0)</f>
        <v>2457</v>
      </c>
      <c r="U45" s="16">
        <f>IFERROR(__xludf.DUMMYFUNCTION("""COMPUTED_VALUE"""),4095.0)</f>
        <v>4095</v>
      </c>
      <c r="V45" s="16">
        <f>IFERROR(__xludf.DUMMYFUNCTION("""COMPUTED_VALUE"""),5733.0)</f>
        <v>5733</v>
      </c>
      <c r="W45" s="16">
        <f>IFERROR(__xludf.DUMMYFUNCTION("""COMPUTED_VALUE"""),7371.0)</f>
        <v>7371</v>
      </c>
      <c r="X45" s="16">
        <f>IFERROR(__xludf.DUMMYFUNCTION("""COMPUTED_VALUE"""),8750.0)</f>
        <v>8750</v>
      </c>
      <c r="Y45" s="16">
        <f>IFERROR(__xludf.DUMMYFUNCTION("""COMPUTED_VALUE"""),10129.0)</f>
        <v>10129</v>
      </c>
      <c r="Z45" s="16">
        <f>IFERROR(__xludf.DUMMYFUNCTION("""COMPUTED_VALUE"""),11507.0)</f>
        <v>11507</v>
      </c>
      <c r="AA45" s="16">
        <f>IFERROR(__xludf.DUMMYFUNCTION("""COMPUTED_VALUE"""),12098.0)</f>
        <v>12098</v>
      </c>
      <c r="AB45" s="16">
        <f>IFERROR(__xludf.DUMMYFUNCTION("""COMPUTED_VALUE"""),12689.0)</f>
        <v>12689</v>
      </c>
      <c r="AC45" s="16">
        <f>IFERROR(__xludf.DUMMYFUNCTION("""COMPUTED_VALUE"""),13280.0)</f>
        <v>13280</v>
      </c>
      <c r="AD45" s="3"/>
      <c r="AE45" s="10">
        <f>IFERROR(__xludf.DUMMYFUNCTION("IMPORTRANGE(""1e7--NjE9N54w7uxIeTVQ2x149gW2CjGTf8gPedLtEqw"",""UP3!AE45:AP45"")"),1281.0)</f>
        <v>1281</v>
      </c>
      <c r="AF45" s="12">
        <f>IFERROR(__xludf.DUMMYFUNCTION("""COMPUTED_VALUE"""),3251.0)</f>
        <v>3251</v>
      </c>
      <c r="AG45" s="12">
        <f>IFERROR(__xludf.DUMMYFUNCTION("""COMPUTED_VALUE"""),4768.0)</f>
        <v>4768</v>
      </c>
      <c r="AH45" s="12">
        <f>IFERROR(__xludf.DUMMYFUNCTION("""COMPUTED_VALUE"""),6521.0)</f>
        <v>6521</v>
      </c>
      <c r="AI45" s="12">
        <f>IFERROR(__xludf.DUMMYFUNCTION("""COMPUTED_VALUE"""),8584.0)</f>
        <v>8584</v>
      </c>
      <c r="AJ45" s="12">
        <f>IFERROR(__xludf.DUMMYFUNCTION("""COMPUTED_VALUE"""),10905.0)</f>
        <v>10905</v>
      </c>
      <c r="AK45" s="12">
        <f>IFERROR(__xludf.DUMMYFUNCTION("""COMPUTED_VALUE"""),10905.0)</f>
        <v>10905</v>
      </c>
      <c r="AL45" s="12">
        <f>IFERROR(__xludf.DUMMYFUNCTION("""COMPUTED_VALUE"""),10905.0)</f>
        <v>10905</v>
      </c>
      <c r="AM45" s="12">
        <f>IFERROR(__xludf.DUMMYFUNCTION("""COMPUTED_VALUE"""),10905.0)</f>
        <v>10905</v>
      </c>
      <c r="AN45" s="12">
        <f>IFERROR(__xludf.DUMMYFUNCTION("""COMPUTED_VALUE"""),10905.0)</f>
        <v>10905</v>
      </c>
      <c r="AO45" s="12">
        <f>IFERROR(__xludf.DUMMYFUNCTION("""COMPUTED_VALUE"""),10905.0)</f>
        <v>10905</v>
      </c>
      <c r="AP45" s="12">
        <f>IFERROR(__xludf.DUMMYFUNCTION("""COMPUTED_VALUE"""),10905.0)</f>
        <v>10905</v>
      </c>
      <c r="AQ45" s="3"/>
      <c r="AR45" s="9">
        <v>110.0</v>
      </c>
      <c r="AS45" s="9">
        <v>110.0</v>
      </c>
      <c r="AT45" s="9">
        <v>110.0</v>
      </c>
      <c r="AU45" s="9">
        <v>110.0</v>
      </c>
      <c r="AV45" s="9">
        <v>110.0</v>
      </c>
      <c r="AW45" s="9">
        <v>110.0</v>
      </c>
      <c r="AX45" s="9">
        <v>110.0</v>
      </c>
      <c r="AY45" s="10">
        <v>1.076611709E9</v>
      </c>
      <c r="AZ45" s="10">
        <v>9.476840184E9</v>
      </c>
      <c r="BA45" s="10">
        <v>9.013886593E9</v>
      </c>
      <c r="BB45" s="10">
        <v>8.594057845E9</v>
      </c>
      <c r="BC45" s="10">
        <v>8.211596386E9</v>
      </c>
      <c r="BD45" s="3"/>
      <c r="BE45" s="9" t="s">
        <v>123</v>
      </c>
      <c r="BF45" s="9" t="s">
        <v>123</v>
      </c>
      <c r="BG45" s="9" t="s">
        <v>123</v>
      </c>
      <c r="BH45" s="9" t="s">
        <v>123</v>
      </c>
    </row>
    <row r="46">
      <c r="A46" s="3"/>
      <c r="B46" s="6" t="s">
        <v>110</v>
      </c>
      <c r="C46" s="9">
        <v>3.0</v>
      </c>
      <c r="D46" s="6" t="s">
        <v>195</v>
      </c>
      <c r="E46" s="6" t="s">
        <v>91</v>
      </c>
      <c r="F46" s="9">
        <v>1.0</v>
      </c>
      <c r="G46" s="9">
        <v>100.0</v>
      </c>
      <c r="H46" s="9">
        <v>100.0</v>
      </c>
      <c r="I46" s="11">
        <v>100.0</v>
      </c>
      <c r="J46" s="11">
        <v>100.0</v>
      </c>
      <c r="K46" s="11">
        <v>100.0</v>
      </c>
      <c r="L46" s="11">
        <v>1.0</v>
      </c>
      <c r="M46" s="3"/>
      <c r="N46" s="6" t="s">
        <v>93</v>
      </c>
      <c r="O46" s="3"/>
      <c r="P46" s="3"/>
      <c r="Q46" s="3"/>
      <c r="R46" s="16">
        <f>IFERROR(__xludf.DUMMYFUNCTION("IMPORTRANGE(""1Oll_sAr-jpBfzl7ZdroBBuuM-sHhVKRxyQNEl9IyQIU"",""LBKB!D10:O10"")"),100.0)</f>
        <v>100</v>
      </c>
      <c r="S46" s="16">
        <f>IFERROR(__xludf.DUMMYFUNCTION("""COMPUTED_VALUE"""),100.0)</f>
        <v>100</v>
      </c>
      <c r="T46" s="16">
        <f>IFERROR(__xludf.DUMMYFUNCTION("""COMPUTED_VALUE"""),100.0)</f>
        <v>100</v>
      </c>
      <c r="U46" s="16">
        <f>IFERROR(__xludf.DUMMYFUNCTION("""COMPUTED_VALUE"""),100.0)</f>
        <v>100</v>
      </c>
      <c r="V46" s="16">
        <f>IFERROR(__xludf.DUMMYFUNCTION("""COMPUTED_VALUE"""),100.0)</f>
        <v>100</v>
      </c>
      <c r="W46" s="16">
        <f>IFERROR(__xludf.DUMMYFUNCTION("""COMPUTED_VALUE"""),100.0)</f>
        <v>100</v>
      </c>
      <c r="X46" s="16">
        <f>IFERROR(__xludf.DUMMYFUNCTION("""COMPUTED_VALUE"""),100.0)</f>
        <v>100</v>
      </c>
      <c r="Y46" s="16">
        <f>IFERROR(__xludf.DUMMYFUNCTION("""COMPUTED_VALUE"""),100.0)</f>
        <v>100</v>
      </c>
      <c r="Z46" s="16">
        <f>IFERROR(__xludf.DUMMYFUNCTION("""COMPUTED_VALUE"""),100.0)</f>
        <v>100</v>
      </c>
      <c r="AA46" s="16">
        <f>IFERROR(__xludf.DUMMYFUNCTION("""COMPUTED_VALUE"""),100.0)</f>
        <v>100</v>
      </c>
      <c r="AB46" s="16">
        <f>IFERROR(__xludf.DUMMYFUNCTION("""COMPUTED_VALUE"""),100.0)</f>
        <v>100</v>
      </c>
      <c r="AC46" s="16">
        <f>IFERROR(__xludf.DUMMYFUNCTION("""COMPUTED_VALUE"""),100.0)</f>
        <v>100</v>
      </c>
      <c r="AD46" s="3"/>
      <c r="AE46" s="10">
        <f>IFERROR(__xludf.DUMMYFUNCTION("IMPORTRANGE(""1e7--NjE9N54w7uxIeTVQ2x149gW2CjGTf8gPedLtEqw"",""UP3!AE46:AP46"")"),100.0)</f>
        <v>100</v>
      </c>
      <c r="AF46" s="12">
        <f>IFERROR(__xludf.DUMMYFUNCTION("""COMPUTED_VALUE"""),100.0)</f>
        <v>100</v>
      </c>
      <c r="AG46" s="12">
        <f>IFERROR(__xludf.DUMMYFUNCTION("""COMPUTED_VALUE"""),100.0)</f>
        <v>100</v>
      </c>
      <c r="AH46" s="12">
        <f>IFERROR(__xludf.DUMMYFUNCTION("""COMPUTED_VALUE"""),100.0)</f>
        <v>100</v>
      </c>
      <c r="AI46" s="12">
        <f>IFERROR(__xludf.DUMMYFUNCTION("""COMPUTED_VALUE"""),100.0)</f>
        <v>100</v>
      </c>
      <c r="AJ46" s="12">
        <f>IFERROR(__xludf.DUMMYFUNCTION("""COMPUTED_VALUE"""),100.0)</f>
        <v>100</v>
      </c>
      <c r="AK46" s="3"/>
      <c r="AL46" s="3"/>
      <c r="AM46" s="3"/>
      <c r="AN46" s="3"/>
      <c r="AO46" s="3"/>
      <c r="AP46" s="3"/>
      <c r="AQ46" s="3"/>
      <c r="AR46" s="9">
        <v>100.0</v>
      </c>
      <c r="AS46" s="9">
        <v>100.0</v>
      </c>
      <c r="AT46" s="9">
        <v>100.0</v>
      </c>
      <c r="AU46" s="9">
        <v>100.0</v>
      </c>
      <c r="AV46" s="9">
        <v>100.0</v>
      </c>
      <c r="AW46" s="9">
        <v>100.0</v>
      </c>
      <c r="AX46" s="9">
        <v>0.0</v>
      </c>
      <c r="AY46" s="9">
        <v>0.0</v>
      </c>
      <c r="AZ46" s="9">
        <v>0.0</v>
      </c>
      <c r="BA46" s="9">
        <v>0.0</v>
      </c>
      <c r="BB46" s="9">
        <v>0.0</v>
      </c>
      <c r="BC46" s="9">
        <v>0.0</v>
      </c>
      <c r="BD46" s="3"/>
      <c r="BE46" s="9">
        <v>1.0</v>
      </c>
      <c r="BF46" s="9">
        <v>1.0</v>
      </c>
      <c r="BG46" s="9">
        <v>1.0</v>
      </c>
      <c r="BH46" s="9">
        <v>1.0</v>
      </c>
    </row>
    <row r="47">
      <c r="A47" s="9">
        <v>12.0</v>
      </c>
      <c r="B47" s="6" t="s">
        <v>111</v>
      </c>
      <c r="C47" s="3"/>
      <c r="D47" s="3"/>
      <c r="E47" s="3"/>
      <c r="F47" s="9">
        <v>4.0</v>
      </c>
      <c r="G47" s="3"/>
      <c r="H47" s="3"/>
      <c r="I47" s="14"/>
      <c r="J47" s="14"/>
      <c r="K47" s="14"/>
      <c r="L47" s="11">
        <v>4.09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10" t="str">
        <f>IFERROR(__xludf.DUMMYFUNCTION("IMPORTRANGE(""1e7--NjE9N54w7uxIeTVQ2x149gW2CjGTf8gPedLtEqw"",""UP3!AE47:AP47"")"),"")</f>
        <v/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10">
        <v>40334.0</v>
      </c>
      <c r="BF47" s="10">
        <v>40334.0</v>
      </c>
      <c r="BG47" s="10">
        <v>40302.0</v>
      </c>
      <c r="BH47" s="10">
        <v>40316.0</v>
      </c>
    </row>
    <row r="48">
      <c r="A48" s="3"/>
      <c r="B48" s="6" t="s">
        <v>112</v>
      </c>
      <c r="C48" s="9">
        <v>3.0</v>
      </c>
      <c r="D48" s="6" t="s">
        <v>196</v>
      </c>
      <c r="E48" s="6" t="s">
        <v>91</v>
      </c>
      <c r="F48" s="9">
        <v>2.0</v>
      </c>
      <c r="G48" s="9">
        <v>100.0</v>
      </c>
      <c r="H48" s="9">
        <v>100.0</v>
      </c>
      <c r="I48" s="11">
        <v>100.0</v>
      </c>
      <c r="J48" s="11">
        <v>104.41</v>
      </c>
      <c r="K48" s="11">
        <v>104.41</v>
      </c>
      <c r="L48" s="11">
        <v>2.09</v>
      </c>
      <c r="M48" s="3"/>
      <c r="N48" s="6" t="s">
        <v>93</v>
      </c>
      <c r="O48" s="6" t="s">
        <v>197</v>
      </c>
      <c r="P48" s="3"/>
      <c r="Q48" s="3"/>
      <c r="R48" s="20">
        <f>IFERROR(__xludf.DUMMYFUNCTION("IMPORTRANGE(""1Oll_sAr-jpBfzl7ZdroBBuuM-sHhVKRxyQNEl9IyQIU"",""aset dist!D10:O10"")"),100.0)</f>
        <v>100</v>
      </c>
      <c r="S48" s="20">
        <f>IFERROR(__xludf.DUMMYFUNCTION("""COMPUTED_VALUE"""),100.0)</f>
        <v>100</v>
      </c>
      <c r="T48" s="20">
        <f>IFERROR(__xludf.DUMMYFUNCTION("""COMPUTED_VALUE"""),100.0)</f>
        <v>100</v>
      </c>
      <c r="U48" s="20">
        <f>IFERROR(__xludf.DUMMYFUNCTION("""COMPUTED_VALUE"""),100.0)</f>
        <v>100</v>
      </c>
      <c r="V48" s="20">
        <f>IFERROR(__xludf.DUMMYFUNCTION("""COMPUTED_VALUE"""),100.0)</f>
        <v>100</v>
      </c>
      <c r="W48" s="20">
        <f>IFERROR(__xludf.DUMMYFUNCTION("""COMPUTED_VALUE"""),100.0)</f>
        <v>100</v>
      </c>
      <c r="X48" s="20">
        <f>IFERROR(__xludf.DUMMYFUNCTION("""COMPUTED_VALUE"""),100.0)</f>
        <v>100</v>
      </c>
      <c r="Y48" s="20">
        <f>IFERROR(__xludf.DUMMYFUNCTION("""COMPUTED_VALUE"""),100.0)</f>
        <v>100</v>
      </c>
      <c r="Z48" s="20">
        <f>IFERROR(__xludf.DUMMYFUNCTION("""COMPUTED_VALUE"""),100.0)</f>
        <v>100</v>
      </c>
      <c r="AA48" s="20">
        <f>IFERROR(__xludf.DUMMYFUNCTION("""COMPUTED_VALUE"""),100.0)</f>
        <v>100</v>
      </c>
      <c r="AB48" s="20">
        <f>IFERROR(__xludf.DUMMYFUNCTION("""COMPUTED_VALUE"""),100.0)</f>
        <v>100</v>
      </c>
      <c r="AC48" s="20">
        <f>IFERROR(__xludf.DUMMYFUNCTION("""COMPUTED_VALUE"""),100.0)</f>
        <v>100</v>
      </c>
      <c r="AD48" s="3"/>
      <c r="AE48" s="10">
        <f>IFERROR(__xludf.DUMMYFUNCTION("IMPORTRANGE(""1e7--NjE9N54w7uxIeTVQ2x149gW2CjGTf8gPedLtEqw"",""UP3!AE48:AP48"")"),101.67)</f>
        <v>101.67</v>
      </c>
      <c r="AF48" s="12">
        <f>IFERROR(__xludf.DUMMYFUNCTION("""COMPUTED_VALUE"""),101.67)</f>
        <v>101.67</v>
      </c>
      <c r="AG48" s="12">
        <f>IFERROR(__xludf.DUMMYFUNCTION("""COMPUTED_VALUE"""),101.51)</f>
        <v>101.51</v>
      </c>
      <c r="AH48" s="12">
        <f>IFERROR(__xludf.DUMMYFUNCTION("""COMPUTED_VALUE"""),101.58)</f>
        <v>101.58</v>
      </c>
      <c r="AI48" s="12">
        <f>IFERROR(__xludf.DUMMYFUNCTION("""COMPUTED_VALUE"""),98.43)</f>
        <v>98.43</v>
      </c>
      <c r="AJ48" s="12">
        <f>IFERROR(__xludf.DUMMYFUNCTION("""COMPUTED_VALUE"""),104.41)</f>
        <v>104.41</v>
      </c>
      <c r="AK48" s="3"/>
      <c r="AL48" s="3"/>
      <c r="AM48" s="3"/>
      <c r="AN48" s="3"/>
      <c r="AO48" s="3"/>
      <c r="AP48" s="3"/>
      <c r="AQ48" s="3"/>
      <c r="AR48" s="9" t="s">
        <v>198</v>
      </c>
      <c r="AS48" s="9" t="s">
        <v>198</v>
      </c>
      <c r="AT48" s="9" t="s">
        <v>199</v>
      </c>
      <c r="AU48" s="9" t="s">
        <v>200</v>
      </c>
      <c r="AV48" s="9" t="s">
        <v>201</v>
      </c>
      <c r="AW48" s="9" t="s">
        <v>202</v>
      </c>
      <c r="AX48" s="9">
        <v>0.0</v>
      </c>
      <c r="AY48" s="9">
        <v>0.0</v>
      </c>
      <c r="AZ48" s="9">
        <v>0.0</v>
      </c>
      <c r="BA48" s="9">
        <v>0.0</v>
      </c>
      <c r="BB48" s="9">
        <v>0.0</v>
      </c>
      <c r="BC48" s="9">
        <v>0.0</v>
      </c>
      <c r="BD48" s="3"/>
      <c r="BE48" s="10">
        <v>20334.0</v>
      </c>
      <c r="BF48" s="10">
        <v>20334.0</v>
      </c>
      <c r="BG48" s="10">
        <v>20302.0</v>
      </c>
      <c r="BH48" s="10">
        <v>20316.0</v>
      </c>
    </row>
    <row r="49">
      <c r="A49" s="3"/>
      <c r="B49" s="6" t="s">
        <v>113</v>
      </c>
      <c r="C49" s="9">
        <v>3.0</v>
      </c>
      <c r="D49" s="6" t="s">
        <v>203</v>
      </c>
      <c r="E49" s="6" t="s">
        <v>91</v>
      </c>
      <c r="F49" s="9">
        <v>2.0</v>
      </c>
      <c r="G49" s="9">
        <v>100.0</v>
      </c>
      <c r="H49" s="9">
        <v>100.0</v>
      </c>
      <c r="I49" s="11">
        <v>100.0</v>
      </c>
      <c r="J49" s="11">
        <v>100.0</v>
      </c>
      <c r="K49" s="11">
        <v>100.0</v>
      </c>
      <c r="L49" s="11">
        <v>2.0</v>
      </c>
      <c r="M49" s="3"/>
      <c r="N49" s="6" t="s">
        <v>93</v>
      </c>
      <c r="O49" s="6" t="s">
        <v>197</v>
      </c>
      <c r="P49" s="3"/>
      <c r="Q49" s="3"/>
      <c r="R49" s="20">
        <f>IFERROR(__xludf.DUMMYFUNCTION("IMPORTRANGE(""1Oll_sAr-jpBfzl7ZdroBBuuM-sHhVKRxyQNEl9IyQIU"",""efektif har!D10:O10"")"),100.0)</f>
        <v>100</v>
      </c>
      <c r="S49" s="20">
        <f>IFERROR(__xludf.DUMMYFUNCTION("""COMPUTED_VALUE"""),100.0)</f>
        <v>100</v>
      </c>
      <c r="T49" s="20">
        <f>IFERROR(__xludf.DUMMYFUNCTION("""COMPUTED_VALUE"""),100.0)</f>
        <v>100</v>
      </c>
      <c r="U49" s="20">
        <f>IFERROR(__xludf.DUMMYFUNCTION("""COMPUTED_VALUE"""),100.0)</f>
        <v>100</v>
      </c>
      <c r="V49" s="20">
        <f>IFERROR(__xludf.DUMMYFUNCTION("""COMPUTED_VALUE"""),100.0)</f>
        <v>100</v>
      </c>
      <c r="W49" s="20">
        <f>IFERROR(__xludf.DUMMYFUNCTION("""COMPUTED_VALUE"""),100.0)</f>
        <v>100</v>
      </c>
      <c r="X49" s="20">
        <f>IFERROR(__xludf.DUMMYFUNCTION("""COMPUTED_VALUE"""),100.0)</f>
        <v>100</v>
      </c>
      <c r="Y49" s="20">
        <f>IFERROR(__xludf.DUMMYFUNCTION("""COMPUTED_VALUE"""),100.0)</f>
        <v>100</v>
      </c>
      <c r="Z49" s="20">
        <f>IFERROR(__xludf.DUMMYFUNCTION("""COMPUTED_VALUE"""),100.0)</f>
        <v>100</v>
      </c>
      <c r="AA49" s="20">
        <f>IFERROR(__xludf.DUMMYFUNCTION("""COMPUTED_VALUE"""),100.0)</f>
        <v>100</v>
      </c>
      <c r="AB49" s="20">
        <f>IFERROR(__xludf.DUMMYFUNCTION("""COMPUTED_VALUE"""),100.0)</f>
        <v>100</v>
      </c>
      <c r="AC49" s="20">
        <f>IFERROR(__xludf.DUMMYFUNCTION("""COMPUTED_VALUE"""),100.0)</f>
        <v>100</v>
      </c>
      <c r="AD49" s="3"/>
      <c r="AE49" s="10">
        <f>IFERROR(__xludf.DUMMYFUNCTION("IMPORTRANGE(""1e7--NjE9N54w7uxIeTVQ2x149gW2CjGTf8gPedLtEqw"",""UP3!AE49:AP49"")"),100.0)</f>
        <v>100</v>
      </c>
      <c r="AF49" s="12">
        <f>IFERROR(__xludf.DUMMYFUNCTION("""COMPUTED_VALUE"""),100.0)</f>
        <v>100</v>
      </c>
      <c r="AG49" s="12">
        <f>IFERROR(__xludf.DUMMYFUNCTION("""COMPUTED_VALUE"""),100.0)</f>
        <v>100</v>
      </c>
      <c r="AH49" s="12">
        <f>IFERROR(__xludf.DUMMYFUNCTION("""COMPUTED_VALUE"""),100.0)</f>
        <v>100</v>
      </c>
      <c r="AI49" s="12">
        <f>IFERROR(__xludf.DUMMYFUNCTION("""COMPUTED_VALUE"""),100.0)</f>
        <v>100</v>
      </c>
      <c r="AJ49" s="24">
        <f>IFERROR(__xludf.DUMMYFUNCTION("""COMPUTED_VALUE"""),100.0)</f>
        <v>100</v>
      </c>
      <c r="AK49" s="24">
        <f>IFERROR(__xludf.DUMMYFUNCTION("""COMPUTED_VALUE"""),100.0)</f>
        <v>100</v>
      </c>
      <c r="AL49" s="24">
        <f>IFERROR(__xludf.DUMMYFUNCTION("""COMPUTED_VALUE"""),100.0)</f>
        <v>100</v>
      </c>
      <c r="AM49" s="24">
        <f>IFERROR(__xludf.DUMMYFUNCTION("""COMPUTED_VALUE"""),100.0)</f>
        <v>100</v>
      </c>
      <c r="AN49" s="24">
        <f>IFERROR(__xludf.DUMMYFUNCTION("""COMPUTED_VALUE"""),100.0)</f>
        <v>100</v>
      </c>
      <c r="AO49" s="24">
        <f>IFERROR(__xludf.DUMMYFUNCTION("""COMPUTED_VALUE"""),100.0)</f>
        <v>100</v>
      </c>
      <c r="AP49" s="24">
        <f>IFERROR(__xludf.DUMMYFUNCTION("""COMPUTED_VALUE"""),100.0)</f>
        <v>100</v>
      </c>
      <c r="AQ49" s="3"/>
      <c r="AR49" s="9">
        <v>100.0</v>
      </c>
      <c r="AS49" s="9">
        <v>100.0</v>
      </c>
      <c r="AT49" s="9">
        <v>100.0</v>
      </c>
      <c r="AU49" s="9">
        <v>100.0</v>
      </c>
      <c r="AV49" s="9">
        <v>100.0</v>
      </c>
      <c r="AW49" s="9">
        <v>100.0</v>
      </c>
      <c r="AX49" s="9">
        <v>100.0</v>
      </c>
      <c r="AY49" s="9">
        <v>100.0</v>
      </c>
      <c r="AZ49" s="9">
        <v>100.0</v>
      </c>
      <c r="BA49" s="9">
        <v>100.0</v>
      </c>
      <c r="BB49" s="9">
        <v>100.0</v>
      </c>
      <c r="BC49" s="9">
        <v>100.0</v>
      </c>
      <c r="BD49" s="3"/>
      <c r="BE49" s="9">
        <v>2.0</v>
      </c>
      <c r="BF49" s="9">
        <v>2.0</v>
      </c>
      <c r="BG49" s="9">
        <v>2.0</v>
      </c>
      <c r="BH49" s="9">
        <v>2.0</v>
      </c>
    </row>
    <row r="50">
      <c r="A50" s="9">
        <v>13.0</v>
      </c>
      <c r="B50" s="6" t="s">
        <v>117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>
      <c r="A51" s="3"/>
      <c r="B51" s="6" t="s">
        <v>118</v>
      </c>
      <c r="C51" s="3"/>
      <c r="D51" s="6" t="s">
        <v>204</v>
      </c>
      <c r="E51" s="3"/>
      <c r="F51" s="6" t="s">
        <v>205</v>
      </c>
      <c r="G51" s="3"/>
      <c r="H51" s="3"/>
      <c r="I51" s="3"/>
      <c r="J51" s="3"/>
      <c r="K51" s="3"/>
      <c r="L51" s="3"/>
      <c r="M51" s="3"/>
      <c r="N51" s="3"/>
      <c r="O51" s="6" t="s">
        <v>192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>
      <c r="A52" s="3"/>
      <c r="B52" s="6" t="s">
        <v>119</v>
      </c>
      <c r="C52" s="3"/>
      <c r="D52" s="6" t="s">
        <v>206</v>
      </c>
      <c r="E52" s="3"/>
      <c r="F52" s="6" t="s">
        <v>205</v>
      </c>
      <c r="G52" s="3"/>
      <c r="H52" s="3"/>
      <c r="I52" s="3"/>
      <c r="J52" s="3"/>
      <c r="K52" s="3"/>
      <c r="L52" s="3"/>
      <c r="M52" s="3"/>
      <c r="N52" s="3"/>
      <c r="O52" s="6" t="s">
        <v>192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>
      <c r="A53" s="3"/>
      <c r="B53" s="6" t="s">
        <v>120</v>
      </c>
      <c r="C53" s="3"/>
      <c r="D53" s="6" t="s">
        <v>207</v>
      </c>
      <c r="E53" s="3"/>
      <c r="F53" s="6" t="s">
        <v>205</v>
      </c>
      <c r="G53" s="3"/>
      <c r="H53" s="3"/>
      <c r="I53" s="3"/>
      <c r="J53" s="3"/>
      <c r="K53" s="3"/>
      <c r="L53" s="3"/>
      <c r="M53" s="3"/>
      <c r="N53" s="3"/>
      <c r="O53" s="6" t="s">
        <v>192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>
      <c r="A54" s="3"/>
      <c r="B54" s="6" t="s">
        <v>208</v>
      </c>
      <c r="C54" s="3"/>
      <c r="D54" s="3"/>
      <c r="E54" s="3"/>
      <c r="F54" s="9">
        <v>100.0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9" t="s">
        <v>56</v>
      </c>
      <c r="L55" s="10" t="s">
        <v>209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10">
        <v>9.95426121E8</v>
      </c>
      <c r="BF55" s="10">
        <v>9.820565885E9</v>
      </c>
      <c r="BG55" s="10">
        <v>9.978708187E9</v>
      </c>
      <c r="BH55" s="10">
        <v>9.941034332E9</v>
      </c>
    </row>
  </sheetData>
  <mergeCells count="23">
    <mergeCell ref="AK3:AM3"/>
    <mergeCell ref="AN3:AP3"/>
    <mergeCell ref="AR3:AT3"/>
    <mergeCell ref="AU3:AW3"/>
    <mergeCell ref="AX3:AZ3"/>
    <mergeCell ref="BA3:BC3"/>
    <mergeCell ref="BE3:BG3"/>
    <mergeCell ref="I3:J3"/>
    <mergeCell ref="R3:T3"/>
    <mergeCell ref="U3:W3"/>
    <mergeCell ref="X3:Z3"/>
    <mergeCell ref="AA3:AC3"/>
    <mergeCell ref="AE3:AG3"/>
    <mergeCell ref="AH3:AJ3"/>
    <mergeCell ref="D27:D28"/>
    <mergeCell ref="E27:E28"/>
    <mergeCell ref="D12:D15"/>
    <mergeCell ref="B18:B19"/>
    <mergeCell ref="C18:C19"/>
    <mergeCell ref="D18:D19"/>
    <mergeCell ref="E18:E19"/>
    <mergeCell ref="B27:B28"/>
    <mergeCell ref="C27:C28"/>
  </mergeCells>
  <drawing r:id="rId1"/>
</worksheet>
</file>